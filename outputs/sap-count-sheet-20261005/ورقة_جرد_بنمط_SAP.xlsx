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user"/>
  <workbookPr/>
  <bookViews>
    <workbookView activeTab="0" xWindow="240" yWindow="60" windowWidth="0" windowHeight="0" tabRatio="500"/>
  </bookViews>
  <sheets>
    <sheet name="ورقة الجرد" sheetId="1" r:id="rId3"/>
  </sheets>
  <calcPr/>
  <extLst>
    <ext uri="smNativeData">
      <pm:revision xmlns:pm="smNativeData" day="1791203067" val="1234" rev="124" rev64="64" revOS="1" revMin="124" revMax="0"/>
      <pm:docPrefs xmlns:pm="smNativeData" id="1791203067" fixedDigits="0" showNotice="1" showFrameBounds="1" autoChart="1" recalcOnPrint="1" recalcOnCopy="1" finalRounding="1" compatTextArt="1" tab="567" useDefinedPrintRange="1" printArea="currentSheet"/>
      <pm:compatibility xmlns:pm="smNativeData" id="1791203067" overlapCells="1"/>
      <pm:defCurrency xmlns:pm="smNativeData" id="1791203067"/>
    </ext>
  </extLst>
</workbook>
</file>

<file path=xl/styles.xml><?xml version="1.0" encoding="utf-8"?>
<styleSheet xmlns="http://schemas.openxmlformats.org/spreadsheetml/2006/main">
  <numFmts count="11">
    <numFmt numFmtId="5" formatCode="#,##0\ &quot;ج.م.&quot;;\-#,##0\ &quot;ج.م.&quot;"/>
    <numFmt numFmtId="6" formatCode="#,##0\ &quot;ج.م.&quot;;[Red]\-#,##0\ &quot;ج.م.&quot;"/>
    <numFmt numFmtId="7" formatCode="#,##0.00\ &quot;ج.م.&quot;;\-#,##0.00\ &quot;ج.م.&quot;"/>
    <numFmt numFmtId="8" formatCode="#,##0.00\ &quot;ج.م.&quot;;[Red]\-#,##0.00\ &quot;ج.م.&quot;"/>
    <numFmt numFmtId="42" formatCode="_-* #,##0\ &quot;ج.م.&quot;_-;\-* #,##0\ &quot;ج.م.&quot;_-;_-* &quot;-&quot;\ &quot;ج.م.&quot;_-;_-@_-"/>
    <numFmt numFmtId="41" formatCode="_-* #,##0\ _ج_._م_._-;\-* #,##0\ _ج_._م_._-;_-* &quot;-&quot;\ _ج_._م_._-;_-@_-"/>
    <numFmt numFmtId="44" formatCode="_-* #,##0.00\ &quot;ج.م.&quot;_-;\-* #,##0.00\ &quot;ج.م.&quot;_-;_-* &quot;-&quot;??\ &quot;ج.م.&quot;_-;_-@_-"/>
    <numFmt numFmtId="43" formatCode="_-* #,##0.00\ _ج_._م_._-;\-* #,##0.00\ _ج_._م_._-;_-* &quot;-&quot;??\ _ج_._م_._-;_-@_-"/>
    <numFmt numFmtId="164" formatCode="DD-MM-YYYY"/>
    <numFmt numFmtId="165" formatCode="#,##0.##"/>
    <numFmt numFmtId="49" formatCode="@"/>
  </numFmts>
  <fonts count="6">
    <font>
      <name val="Carlito"/>
      <family val="1"/>
      <color rgb="FF000000"/>
      <sz val="11"/>
      <extLst>
        <ext uri="smNativeData">
          <pm:charSpec xmlns:pm="smNativeData" id="1791203067" ulstyle="none" kern="1">
            <pm:latin face="Carlito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91203067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color rgb="FF222B35"/>
      <sz val="10"/>
      <extLst>
        <ext uri="smNativeData">
          <pm:charSpec xmlns:pm="smNativeData" id="1791203067" fgClr="222B35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b/>
      <color rgb="FF2D3742"/>
      <sz val="15"/>
      <extLst>
        <ext uri="smNativeData">
          <pm:charSpec xmlns:pm="smNativeData" id="1791203067" fgClr="2D3742" ulstyle="none" kern="1">
            <pm:latin face="Arial" sz="300" lang="default" weight="bold"/>
            <pm:cs face="Basic Roman" sz="300" lang="default" weight="bold"/>
            <pm:ea face="Basic Roman" sz="300" lang="default" weight="bold"/>
          </pm:charSpec>
        </ext>
      </extLst>
    </font>
    <font>
      <name val="Arial"/>
      <family val="1"/>
      <color rgb="FF57636E"/>
      <sz val="9"/>
      <extLst>
        <ext uri="smNativeData">
          <pm:charSpec xmlns:pm="smNativeData" id="1791203067" fgClr="57636E" ulstyle="none" kern="1">
            <pm:latin face="Arial" sz="180" lang="default"/>
            <pm:cs face="Basic Roman" sz="180" lang="default"/>
            <pm:ea face="Basic Roman" sz="180" lang="default"/>
          </pm:charSpec>
        </ext>
      </extLst>
    </font>
    <font>
      <name val="Arial"/>
      <family val="1"/>
      <b/>
      <color rgb="FFFFFFFF"/>
      <sz val="10"/>
      <extLst>
        <ext uri="smNativeData">
          <pm:charSpec xmlns:pm="smNativeData" id="1791203067" fgClr="FFFFFF" ulstyle="none" kern="1">
            <pm:latin face="Arial" sz="200" lang="default" weight="bold"/>
            <pm:cs face="Basic Roman" sz="200" lang="default" weight="bold"/>
            <pm:ea face="Basic Roman" sz="200" lang="default" weight="bold"/>
          </pm:charSpec>
        </ext>
      </extLst>
    </font>
  </fonts>
  <fills count="21">
    <fill>
      <patternFill patternType="none"/>
    </fill>
    <fill>
      <patternFill patternType="gray125"/>
    </fill>
    <fill>
      <patternFill patternType="none"/>
    </fill>
    <fill>
      <patternFill patternType="solid">
        <fgColor rgb="FFFFF2CF"/>
        <bgColor rgb="FFFFFFFF"/>
        <extLst>
          <ext uri="smNativeData">
            <pm:shade xmlns:pm="smNativeData" id="1791203067" type="1" fgLvl="100" fgClr="00FFF2CF" bgLvl="0" bgClr="00FFFFFF"/>
          </ext>
        </extLst>
      </patternFill>
    </fill>
    <fill>
      <patternFill patternType="solid">
        <fgColor rgb="FFFFF2CF"/>
        <bgColor rgb="FFFFFFFF"/>
        <extLst>
          <ext uri="smNativeData">
            <pm:shade xmlns:pm="smNativeData" id="1791203067" type="1" fgLvl="100" fgClr="00FFF2CF" bgLvl="0" bgClr="00FFFFFF"/>
          </ext>
        </extLst>
      </patternFill>
    </fill>
    <fill>
      <patternFill patternType="solid">
        <fgColor rgb="FF59636D"/>
        <bgColor rgb="FFFFFFFF"/>
        <extLst>
          <ext uri="smNativeData">
            <pm:shade xmlns:pm="smNativeData" id="1791203067" type="1" fgLvl="100" fgClr="0059636D" bgLvl="0" bgClr="00FFFFFF"/>
          </ext>
        </extLst>
      </patternFill>
    </fill>
    <fill>
      <patternFill patternType="solid">
        <fgColor rgb="FF59636D"/>
        <bgColor rgb="FFFFFFFF"/>
        <extLst>
          <ext uri="smNativeData">
            <pm:shade xmlns:pm="smNativeData" id="1791203067" type="1" fgLvl="100" fgClr="0059636D" bgLvl="0" bgClr="00FFFFFF"/>
          </ext>
        </extLst>
      </patternFill>
    </fill>
    <fill>
      <patternFill patternType="solid">
        <fgColor rgb="FF59636D"/>
        <bgColor rgb="FFFFFFFF"/>
        <extLst>
          <ext uri="smNativeData">
            <pm:shade xmlns:pm="smNativeData" id="1791203067" type="1" fgLvl="100" fgClr="0059636D" bgLvl="0" bgClr="00FFFFFF"/>
          </ext>
        </extLst>
      </patternFill>
    </fill>
    <fill>
      <patternFill patternType="solid">
        <fgColor rgb="FF59636D"/>
        <bgColor rgb="FFFFFFFF"/>
        <extLst>
          <ext uri="smNativeData">
            <pm:shade xmlns:pm="smNativeData" id="1791203067" type="1" fgLvl="100" fgClr="0059636D" bgLvl="0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2CF"/>
        <bgColor rgb="FFFFFFFF"/>
        <extLst>
          <ext uri="smNativeData">
            <pm:shade xmlns:pm="smNativeData" id="1791203067" type="1" fgLvl="100" fgClr="00FFF2CF" bgLvl="0" bgClr="00FFFFFF"/>
          </ext>
        </extLst>
      </patternFill>
    </fill>
    <fill>
      <patternFill patternType="solid">
        <fgColor rgb="FFFFF2CF"/>
        <bgColor rgb="FFFFFFFF"/>
        <extLst>
          <ext uri="smNativeData">
            <pm:shade xmlns:pm="smNativeData" id="1791203067" type="1" fgLvl="100" fgClr="00FFF2CF" bgLvl="0" bgClr="00FFFFFF"/>
          </ext>
        </extLst>
      </patternFill>
    </fill>
    <fill>
      <patternFill patternType="solid">
        <fgColor rgb="FFFFF2CF"/>
        <bgColor rgb="FFFFFFFF"/>
        <extLst>
          <ext uri="smNativeData">
            <pm:shade xmlns:pm="smNativeData" id="1791203067" type="1" fgLvl="100" fgClr="00FFF2CF" bgLvl="0" bgClr="00FFFFFF"/>
          </ext>
        </extLst>
      </patternFill>
    </fill>
    <fill>
      <patternFill patternType="solid">
        <fgColor rgb="FFFFF9E8"/>
        <bgColor rgb="FFFFFFFF"/>
        <extLst>
          <ext uri="smNativeData">
            <pm:shade xmlns:pm="smNativeData" id="1791203067" type="1" fgLvl="100" fgClr="00FFF9E8" bgLvl="0" bgClr="00FFFFFF"/>
          </ext>
        </extLst>
      </patternFill>
    </fill>
    <fill>
      <patternFill patternType="solid">
        <fgColor rgb="FFFFF9E8"/>
        <bgColor rgb="FFFFFFFF"/>
        <extLst>
          <ext uri="smNativeData">
            <pm:shade xmlns:pm="smNativeData" id="1791203067" type="1" fgLvl="100" fgClr="00FFF9E8" bgLvl="0" bgClr="00FFFFFF"/>
          </ext>
        </extLst>
      </patternFill>
    </fill>
    <fill>
      <patternFill patternType="solid">
        <fgColor rgb="FFFFF9E8"/>
        <bgColor rgb="FFFFFFFF"/>
        <extLst>
          <ext uri="smNativeData">
            <pm:shade xmlns:pm="smNativeData" id="1791203067" type="1" fgLvl="100" fgClr="00FFF9E8" bgLvl="0" bgClr="00FFFFFF"/>
          </ext>
        </extLst>
      </patternFill>
    </fill>
    <fill>
      <patternFill patternType="none"/>
    </fill>
    <fill>
      <patternFill patternType="solid">
        <fgColor rgb="FFFFF9E8"/>
        <bgColor rgb="FFFFFFFF"/>
        <extLst>
          <ext uri="smNativeData">
            <pm:shade xmlns:pm="smNativeData" id="1791203067" type="1" fgLvl="100" fgClr="00FFF9E8" bgLvl="0" bgClr="00FFFFFF"/>
          </ext>
        </extLst>
      </patternFill>
    </fill>
    <fill>
      <patternFill patternType="solid">
        <fgColor rgb="FFFFF2CF"/>
        <bgColor rgb="FFFFFFFF"/>
        <extLst>
          <ext uri="smNativeData">
            <pm:shade xmlns:pm="smNativeData" id="1791203067" type="1" fgLvl="100" fgClr="00FFF2CF" bgLvl="0" bgClr="00FFFFFF"/>
          </ext>
        </extLst>
      </patternFill>
    </fill>
  </fills>
  <borders count="20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20306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B7BEC5"/>
      </bottom>
      <extLst>
        <ext uri="smNativeData">
          <pm:border xmlns:pm="smNativeData" id="1791203067">
            <pm:line position="bottom" type="1" style="0" width="20" dist="20" width2="20" rgb="B7BEC5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20306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C89A3C"/>
      </bottom>
      <extLst>
        <ext uri="smNativeData">
          <pm:border xmlns:pm="smNativeData" id="1791203067">
            <pm:line position="bottom" type="1" style="0" width="20" dist="20" width2="20" rgb="C89A3C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203067"/>
        </ext>
      </extLst>
    </border>
    <border>
      <left style="none">
        <color rgb="FF000000"/>
      </left>
      <right style="thin">
        <color rgb="FFDBE0E4"/>
      </right>
      <top style="none">
        <color rgb="FF000000"/>
      </top>
      <bottom style="none">
        <color rgb="FF000000"/>
      </bottom>
      <extLst>
        <ext uri="smNativeData">
          <pm:border xmlns:pm="smNativeData" id="1791203067">
            <pm:line position="right" type="1" style="0" width="20" dist="20" width2="20" rgb="DBE0E4"/>
          </pm:border>
        </ext>
      </extLst>
    </border>
    <border>
      <left style="thin">
        <color rgb="FFDBE0E4"/>
      </left>
      <right style="thin">
        <color rgb="FFDBE0E4"/>
      </right>
      <top style="none">
        <color rgb="FF000000"/>
      </top>
      <bottom style="none">
        <color rgb="FF000000"/>
      </bottom>
      <extLst>
        <ext uri="smNativeData">
          <pm:border xmlns:pm="smNativeData" id="1791203067">
            <pm:line position="left" type="1" style="0" width="20" dist="20" width2="20" rgb="DBE0E4"/>
            <pm:line position="right" type="1" style="0" width="20" dist="20" width2="20" rgb="DBE0E4"/>
          </pm:border>
        </ext>
      </extLst>
    </border>
    <border>
      <left style="thin">
        <color rgb="FFDBE0E4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1203067">
            <pm:line position="left" type="1" style="0" width="20" dist="20" width2="20" rgb="DBE0E4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E2E6E9"/>
      </bottom>
      <extLst>
        <ext uri="smNativeData">
          <pm:border xmlns:pm="smNativeData" id="1791203067">
            <pm:line position="bottom" type="1" style="0" width="20" dist="20" width2="20" rgb="E2E6E9"/>
          </pm:border>
        </ext>
      </extLst>
    </border>
    <border>
      <left style="none">
        <color rgb="FF000000"/>
      </left>
      <right style="none">
        <color rgb="FF000000"/>
      </right>
      <top style="thin">
        <color rgb="FFE2E6E9"/>
      </top>
      <bottom style="thin">
        <color rgb="FFE2E6E9"/>
      </bottom>
      <extLst>
        <ext uri="smNativeData">
          <pm:border xmlns:pm="smNativeData" id="1791203067">
            <pm:line position="top" type="1" style="0" width="20" dist="20" width2="20" rgb="E2E6E9"/>
            <pm:line position="bottom" type="1" style="0" width="20" dist="20" width2="20" rgb="E2E6E9"/>
          </pm:border>
        </ext>
      </extLst>
    </border>
    <border>
      <left style="none">
        <color rgb="FF000000"/>
      </left>
      <right style="none">
        <color rgb="FF000000"/>
      </right>
      <top style="thin">
        <color rgb="FFE2E6E9"/>
      </top>
      <bottom style="none">
        <color rgb="FF000000"/>
      </bottom>
      <extLst>
        <ext uri="smNativeData">
          <pm:border xmlns:pm="smNativeData" id="1791203067">
            <pm:line position="top" type="1" style="0" width="20" dist="20" width2="20" rgb="E2E6E9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E2E6E9"/>
      </bottom>
      <extLst>
        <ext uri="smNativeData">
          <pm:border xmlns:pm="smNativeData" id="1791203067">
            <pm:line position="bottom" type="1" style="0" width="20" dist="20" width2="20" rgb="E2E6E9"/>
          </pm:border>
        </ext>
      </extLst>
    </border>
    <border>
      <left style="none">
        <color rgb="FF000000"/>
      </left>
      <right style="none">
        <color rgb="FF000000"/>
      </right>
      <top style="thin">
        <color rgb="FFE2E6E9"/>
      </top>
      <bottom style="thin">
        <color rgb="FFE2E6E9"/>
      </bottom>
      <extLst>
        <ext uri="smNativeData">
          <pm:border xmlns:pm="smNativeData" id="1791203067">
            <pm:line position="top" type="1" style="0" width="20" dist="20" width2="20" rgb="E2E6E9"/>
            <pm:line position="bottom" type="1" style="0" width="20" dist="20" width2="20" rgb="E2E6E9"/>
          </pm:border>
        </ext>
      </extLst>
    </border>
    <border>
      <left style="none">
        <color rgb="FF000000"/>
      </left>
      <right style="none">
        <color rgb="FF000000"/>
      </right>
      <top style="thin">
        <color rgb="FFE2E6E9"/>
      </top>
      <bottom style="none">
        <color rgb="FF000000"/>
      </bottom>
      <extLst>
        <ext uri="smNativeData">
          <pm:border xmlns:pm="smNativeData" id="1791203067">
            <pm:line position="top" type="1" style="0" width="20" dist="20" width2="20" rgb="E2E6E9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E2E6E9"/>
      </bottom>
      <extLst>
        <ext uri="smNativeData">
          <pm:border xmlns:pm="smNativeData" id="1791203067">
            <pm:line position="bottom" type="1" style="0" width="20" dist="20" width2="20" rgb="E2E6E9"/>
          </pm:border>
        </ext>
      </extLst>
    </border>
    <border>
      <left style="none">
        <color rgb="FF000000"/>
      </left>
      <right style="none">
        <color rgb="FF000000"/>
      </right>
      <top style="thin">
        <color rgb="FFE2E6E9"/>
      </top>
      <bottom style="thin">
        <color rgb="FFE2E6E9"/>
      </bottom>
      <extLst>
        <ext uri="smNativeData">
          <pm:border xmlns:pm="smNativeData" id="1791203067">
            <pm:line position="top" type="1" style="0" width="20" dist="20" width2="20" rgb="E2E6E9"/>
            <pm:line position="bottom" type="1" style="0" width="20" dist="20" width2="20" rgb="E2E6E9"/>
          </pm:border>
        </ext>
      </extLst>
    </border>
    <border>
      <left style="none">
        <color rgb="FF000000"/>
      </left>
      <right style="none">
        <color rgb="FF000000"/>
      </right>
      <top style="thin">
        <color rgb="FFE2E6E9"/>
      </top>
      <bottom style="none">
        <color rgb="FF000000"/>
      </bottom>
      <extLst>
        <ext uri="smNativeData">
          <pm:border xmlns:pm="smNativeData" id="1791203067">
            <pm:line position="top" type="1" style="0" width="20" dist="20" width2="20" rgb="E2E6E9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B7BEC5"/>
      </top>
      <bottom style="thin">
        <color rgb="FFE2E6E9"/>
      </bottom>
      <extLst>
        <ext uri="smNativeData">
          <pm:border xmlns:pm="smNativeData" id="1791203067">
            <pm:line position="top" type="1" style="0" width="30" dist="20" width2="20" rgb="B7BEC5"/>
            <pm:line position="bottom" type="1" style="0" width="20" dist="20" width2="20" rgb="E2E6E9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B7BEC5"/>
      </top>
      <bottom style="thin">
        <color rgb="FFE2E6E9"/>
      </bottom>
      <extLst>
        <ext uri="smNativeData">
          <pm:border xmlns:pm="smNativeData" id="1791203067">
            <pm:line position="top" type="1" style="0" width="30" dist="20" width2="20" rgb="B7BEC5"/>
            <pm:line position="bottom" type="1" style="0" width="20" dist="20" width2="20" rgb="E2E6E9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B7BEC5"/>
      </top>
      <bottom style="thin">
        <color rgb="FFE2E6E9"/>
      </bottom>
      <extLst>
        <ext uri="smNativeData">
          <pm:border xmlns:pm="smNativeData" id="1791203067">
            <pm:line position="top" type="1" style="0" width="30" dist="20" width2="20" rgb="B7BEC5"/>
            <pm:line position="bottom" type="1" style="0" width="20" dist="20" width2="20" rgb="E2E6E9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39">
    <xf numFmtId="0" fontId="1" fillId="0" borderId="0" xfId="0" applyFont="1"/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64" fontId="2" fillId="4" borderId="3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5" fillId="6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13" borderId="12" xfId="0" applyFont="1" applyFill="1" applyBorder="1" applyAlignment="1">
      <alignment vertical="center"/>
    </xf>
    <xf numFmtId="0" fontId="2" fillId="16" borderId="15" xfId="0" applyFont="1" applyFill="1" applyBorder="1" applyAlignment="1">
      <alignment vertical="center"/>
    </xf>
    <xf numFmtId="0" fontId="2" fillId="17" borderId="16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15" borderId="14" xfId="0" applyFont="1" applyFill="1" applyBorder="1" applyAlignment="1">
      <alignment horizontal="center" vertical="center"/>
    </xf>
    <xf numFmtId="165" fontId="2" fillId="12" borderId="11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16" borderId="15" xfId="0" applyFont="1" applyFill="1" applyBorder="1" applyAlignment="1">
      <alignment horizontal="center" vertical="center"/>
    </xf>
    <xf numFmtId="165" fontId="2" fillId="13" borderId="12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17" borderId="16" xfId="0" applyFont="1" applyFill="1" applyBorder="1" applyAlignment="1">
      <alignment horizontal="center" vertical="center"/>
    </xf>
    <xf numFmtId="165" fontId="2" fillId="14" borderId="13" xfId="0" applyNumberFormat="1" applyFont="1" applyFill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19" borderId="18" xfId="0" applyFont="1" applyFill="1" applyBorder="1" applyAlignment="1">
      <alignment horizontal="center" vertical="center"/>
    </xf>
    <xf numFmtId="165" fontId="2" fillId="20" borderId="19" xfId="0" applyNumberFormat="1" applyFont="1" applyFill="1" applyBorder="1" applyAlignment="1">
      <alignment horizontal="center" vertical="center"/>
    </xf>
    <xf numFmtId="49" fontId="2" fillId="19" borderId="18" xfId="0" applyNumberFormat="1" applyFont="1" applyFill="1" applyBorder="1" applyAlignment="1">
      <alignment horizontal="center" vertical="center"/>
    </xf>
    <xf numFmtId="0" fontId="2" fillId="19" borderId="18" xfId="0" applyFont="1" applyFill="1" applyBorder="1" applyAlignment="1">
      <alignment vertical="center"/>
    </xf>
    <xf numFmtId="164" fontId="2" fillId="19" borderId="18" xfId="0" applyNumberFormat="1" applyFont="1" applyFill="1" applyBorder="1" applyAlignment="1">
      <alignment horizontal="center" vertical="center"/>
    </xf>
    <xf numFmtId="49" fontId="2" fillId="16" borderId="15" xfId="0" applyNumberFormat="1" applyFont="1" applyFill="1" applyBorder="1" applyAlignment="1">
      <alignment horizontal="center" vertical="center"/>
    </xf>
    <xf numFmtId="164" fontId="2" fillId="16" borderId="15" xfId="0" applyNumberFormat="1" applyFont="1" applyFill="1" applyBorder="1" applyAlignment="1">
      <alignment horizontal="center" vertical="center"/>
    </xf>
    <xf numFmtId="49" fontId="2" fillId="17" borderId="16" xfId="0" applyNumberFormat="1" applyFont="1" applyFill="1" applyBorder="1" applyAlignment="1">
      <alignment horizontal="center" vertical="center"/>
    </xf>
    <xf numFmtId="164" fontId="2" fillId="17" borderId="16" xfId="0" applyNumberFormat="1" applyFont="1" applyFill="1" applyBorder="1" applyAlignment="1">
      <alignment horizontal="center" vertical="center"/>
    </xf>
  </cellXfs>
  <cellStyles count="1">
    <cellStyle name="Normal" xfId="0" builtinId="0" customBuiltin="1"/>
  </cellStyles>
  <tableStyles count="0"/>
  <extLst>
    <ext uri="smNativeData">
      <pm:charStyles xmlns:pm="smNativeData" id="1791203067" count="1">
        <pm:charStyle name="Normal" fontId="0" Id="1"/>
      </pm:charStyles>
      <pm:colors xmlns:pm="smNativeData" id="1791203067" count="11">
        <pm:color name="Color 24" rgb="222B35"/>
        <pm:color name="Color 25" rgb="2D3742"/>
        <pm:color name="Color 26" rgb="57636E"/>
        <pm:color name="Color 27" rgb="FFF2CF"/>
        <pm:color name="Color 28" rgb="59636D"/>
        <pm:color name="Color 29" rgb="FFF9E8"/>
        <pm:color name="Color 30" rgb="B7BEC5"/>
        <pm:color name="Color 31" rgb="C89A3C"/>
        <pm:color name="Color 32" rgb="DBE0E4"/>
        <pm:color name="Color 33" rgb="E2E6E9"/>
        <pm:color name="Color 34" rgb="5A626A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Basic Sans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tabColor rgb="5A626A"/>
  </sheetPr>
  <dimension ref="A1:I108"/>
  <sheetViews>
    <sheetView showGridLines="0" tabSelected="1" view="normal" workbookViewId="0">
      <pane ySplit="8" topLeftCell="A9" activePane="bottomLeft" state="frozen"/>
      <selection pane="bottomLeft" activeCell="F8" sqref="F8"/>
    </sheetView>
  </sheetViews>
  <sheetFormatPr defaultRowHeight="13.45"/>
  <cols>
    <col min="1" max="1" width="81.544643" customWidth="1"/>
    <col min="2" max="2" width="22.000000" customWidth="1"/>
    <col min="3" max="3" width="19.000000" customWidth="1"/>
    <col min="4" max="4" width="16.000000" customWidth="1"/>
    <col min="5" max="5" width="12.000000" customWidth="1"/>
    <col min="6" max="6" width="18.000000" customWidth="1"/>
    <col min="7" max="7" width="48.000000" customWidth="1"/>
    <col min="8" max="8" width="23.000000" customWidth="1"/>
    <col min="9" max="9" width="20.000000" customWidth="1"/>
  </cols>
  <sheetData>
    <row r="1" spans="1:9">
      <c r="A1" s="2"/>
      <c r="B1" s="2"/>
      <c r="C1" s="2"/>
      <c r="D1" s="2"/>
      <c r="E1" s="2"/>
      <c r="F1" s="2"/>
      <c r="G1" s="2"/>
      <c r="H1" s="2"/>
      <c r="I1" s="2"/>
    </row>
    <row r="2" spans="1:9" ht="33" customHeight="1">
      <c r="A2" s="3" t="inlineStr">
        <is>
          <r>
            <t>ورقة الجرد الفعلي  |  Physical Inventory Count Sheet</t>
          </r>
        </is>
      </c>
      <c r="B2" s="2"/>
      <c r="C2" s="2"/>
      <c r="D2" s="2"/>
      <c r="E2" s="2"/>
      <c r="F2" s="2"/>
      <c r="G2" s="2"/>
      <c r="H2" s="2"/>
      <c r="I2" s="2"/>
    </row>
    <row r="3" spans="1:9">
      <c r="A3" s="4"/>
      <c r="B3" s="4"/>
      <c r="C3" s="4"/>
      <c r="D3" s="4"/>
      <c r="E3" s="4"/>
      <c r="F3" s="4"/>
      <c r="G3" s="4"/>
      <c r="H3" s="4"/>
      <c r="I3" s="4"/>
    </row>
    <row r="4" spans="1:9" ht="27" customHeight="1">
      <c r="A4" s="2" t="inlineStr">
        <is>
          <r>
            <t>كود المخزن</t>
          </r>
        </is>
      </c>
      <c r="B4" s="5"/>
      <c r="C4" s="2"/>
      <c r="D4" s="2" t="inlineStr">
        <is>
          <r>
            <t>اسم المخزن</t>
          </r>
        </is>
      </c>
      <c r="E4" s="5"/>
      <c r="F4" s="2"/>
      <c r="G4" s="2" t="inlineStr">
        <is>
          <r>
            <t>تاريخ الجرد</t>
          </r>
        </is>
      </c>
      <c r="H4" s="6"/>
      <c r="I4" s="2"/>
    </row>
    <row r="5" spans="1:9" ht="27" customHeight="1">
      <c r="A5" s="2" t="inlineStr">
        <is>
          <r>
            <t>الشركة</t>
          </r>
        </is>
      </c>
      <c r="B5" s="5"/>
      <c r="C5" s="2"/>
      <c r="D5" s="2" t="inlineStr">
        <is>
          <r>
            <t>القائم بالعد</t>
          </r>
        </is>
      </c>
      <c r="E5" s="5"/>
      <c r="F5" s="2"/>
      <c r="G5" s="2" t="inlineStr">
        <is>
          <r>
            <t>وقت العد</t>
          </r>
        </is>
      </c>
      <c r="H5" s="5"/>
      <c r="I5" s="2"/>
    </row>
    <row r="6" spans="1:9" ht="22" customHeight="1">
      <c r="A6" s="7" t="inlineStr">
        <is>
          <r>
            <t>اكتب الكمية المعدودة بعد العد فقط؛ اترك الخانة فارغة إذا لم يُجرد السطر.</t>
          </r>
        </is>
      </c>
      <c r="B6" s="2"/>
      <c r="C6" s="2"/>
      <c r="D6" s="2"/>
      <c r="E6" s="2"/>
      <c r="F6" s="2"/>
      <c r="G6" s="2"/>
      <c r="H6" s="2"/>
      <c r="I6" s="2"/>
    </row>
    <row r="7" spans="1:9" ht="22" customHeight="1">
      <c r="A7" s="7" t="inlineStr">
        <is>
          <r>
            <t>الأصناف واللوطات المبدئية من كتالوج المشروع؛ راجع رقم اللوط والصلاحية على العبوة، وأضف أي لوط جديد في الصفوف الفارغة.</t>
          </r>
        </is>
      </c>
      <c r="B7" s="2"/>
      <c r="C7" s="2"/>
      <c r="D7" s="2"/>
      <c r="E7" s="2"/>
      <c r="F7" s="2"/>
      <c r="G7" s="2"/>
      <c r="H7" s="2"/>
      <c r="I7" s="2"/>
    </row>
    <row r="8" spans="1:9" ht="38" customHeight="1">
      <c r="A8" s="8" t="inlineStr">
        <is>
          <r>
            <t>Store Code
كود المخزن</t>
          </r>
        </is>
      </c>
      <c r="B8" s="9" t="inlineStr">
        <is>
          <r>
            <t>Store Name
اسم المخزن</t>
          </r>
        </is>
      </c>
      <c r="C8" s="9" t="inlineStr">
        <is>
          <r>
            <t>S/L Batch
دفعة النظام</t>
          </r>
        </is>
      </c>
      <c r="D8" s="9" t="inlineStr">
        <is>
          <r>
            <t>Counted
المعدود</t>
          </r>
        </is>
      </c>
      <c r="E8" s="9" t="inlineStr">
        <is>
          <r>
            <t>UOM
الوحدة</t>
          </r>
        </is>
      </c>
      <c r="F8" s="9" t="inlineStr">
        <is>
          <r>
            <t>Item Code
كود الصنف</t>
          </r>
        </is>
      </c>
      <c r="G8" s="9" t="inlineStr">
        <is>
          <r>
            <t>Item Description
اسم الصنف</t>
          </r>
        </is>
      </c>
      <c r="H8" s="9" t="inlineStr">
        <is>
          <r>
            <t>LOT No
رقم اللوط</t>
          </r>
        </is>
      </c>
      <c r="I8" s="10" t="inlineStr">
        <is>
          <r>
            <t>Expiry Date
الصلاحية</t>
          </r>
        </is>
      </c>
    </row>
    <row r="9" spans="1:9" ht="24" customHeight="1">
      <c r="A9" s="16" t="str">
        <f>IF($B$4="","",$B$4)</f>
        <v/>
      </c>
      <c r="B9" s="16" t="str">
        <f>IF($E$4="","",$E$4)</f>
        <v/>
      </c>
      <c r="C9" s="17"/>
      <c r="D9" s="18"/>
      <c r="E9" s="17"/>
      <c r="F9" s="27" t="inlineStr">
        <is>
          <r>
            <t>5</t>
          </r>
        </is>
      </c>
      <c r="G9" s="11" t="inlineStr">
        <is>
          <r>
            <t>PCA100/4ML with button (TUOREN)</t>
          </r>
        </is>
      </c>
      <c r="H9" s="27" t="inlineStr">
        <is>
          <r>
            <t>230625</t>
          </r>
        </is>
      </c>
      <c r="I9" s="25" t="n">
        <v>46928</v>
      </c>
    </row>
    <row r="10" spans="1:9" ht="24" customHeight="1">
      <c r="A10" s="19" t="str">
        <f>IF($B$4="","",$B$4)</f>
        <v/>
      </c>
      <c r="B10" s="19" t="str">
        <f>IF($E$4="","",$E$4)</f>
        <v/>
      </c>
      <c r="C10" s="20"/>
      <c r="D10" s="21"/>
      <c r="E10" s="20"/>
      <c r="F10" s="28" t="inlineStr">
        <is>
          <r>
            <t>6</t>
          </r>
        </is>
      </c>
      <c r="G10" s="13"/>
      <c r="H10" s="28" t="inlineStr">
        <is>
          <r>
            <t>250620</t>
          </r>
        </is>
      </c>
      <c r="I10" s="26" t="n">
        <v>47653</v>
      </c>
    </row>
    <row r="11" spans="1:9" ht="24" customHeight="1">
      <c r="A11" s="19" t="str">
        <f>IF($B$4="","",$B$4)</f>
        <v/>
      </c>
      <c r="B11" s="19" t="str">
        <f>IF($E$4="","",$E$4)</f>
        <v/>
      </c>
      <c r="C11" s="20"/>
      <c r="D11" s="21"/>
      <c r="E11" s="20"/>
      <c r="F11" s="28" t="inlineStr">
        <is>
          <r>
            <t>39</t>
          </r>
        </is>
      </c>
      <c r="G11" s="12" t="inlineStr">
        <is>
          <r>
            <t>PCA 100/2ml without button(TUOREN)</t>
          </r>
        </is>
      </c>
      <c r="H11" s="28" t="inlineStr">
        <is>
          <r>
            <t>230625</t>
          </r>
        </is>
      </c>
      <c r="I11" s="26" t="n">
        <v>46869</v>
      </c>
    </row>
    <row r="12" spans="1:9" ht="24" customHeight="1">
      <c r="A12" s="19" t="str">
        <f>IF($B$4="","",$B$4)</f>
        <v/>
      </c>
      <c r="B12" s="19" t="str">
        <f>IF($E$4="","",$E$4)</f>
        <v/>
      </c>
      <c r="C12" s="20"/>
      <c r="D12" s="21"/>
      <c r="E12" s="20"/>
      <c r="F12" s="28" t="inlineStr">
        <is>
          <r>
            <t>43</t>
          </r>
        </is>
      </c>
      <c r="G12" s="13"/>
      <c r="H12" s="28" t="inlineStr">
        <is>
          <r>
            <t>216120926T</t>
          </r>
        </is>
      </c>
      <c r="I12" s="26" t="inlineStr">
        <is>
          <r>
            <t>2-2028</t>
          </r>
        </is>
      </c>
    </row>
    <row r="13" spans="1:9" ht="24" customHeight="1">
      <c r="A13" s="19" t="str">
        <f>IF($B$4="","",$B$4)</f>
        <v/>
      </c>
      <c r="B13" s="19" t="str">
        <f>IF($E$4="","",$E$4)</f>
        <v/>
      </c>
      <c r="C13" s="20"/>
      <c r="D13" s="21"/>
      <c r="E13" s="20"/>
      <c r="F13" s="28" t="inlineStr">
        <is>
          <r>
            <t>52</t>
          </r>
        </is>
      </c>
      <c r="G13" s="12" t="inlineStr">
        <is>
          <r>
            <t>PCA300/2ml without button (TUOREN)</t>
          </r>
        </is>
      </c>
      <c r="H13" s="28" t="inlineStr">
        <is>
          <r>
            <t>220310</t>
          </r>
        </is>
      </c>
      <c r="I13" s="26" t="n">
        <v>46455</v>
      </c>
    </row>
    <row r="14" spans="1:9" ht="24" customHeight="1">
      <c r="A14" s="19" t="str">
        <f>IF($B$4="","",$B$4)</f>
        <v/>
      </c>
      <c r="B14" s="19" t="str">
        <f>IF($E$4="","",$E$4)</f>
        <v/>
      </c>
      <c r="C14" s="20"/>
      <c r="D14" s="21"/>
      <c r="E14" s="20"/>
      <c r="F14" s="28" t="inlineStr">
        <is>
          <r>
            <t>52</t>
          </r>
        </is>
      </c>
      <c r="G14" s="12" t="inlineStr">
        <is>
          <r>
            <t>PCA300/2ml without button (TUOREN)</t>
          </r>
        </is>
      </c>
      <c r="H14" s="28" t="inlineStr">
        <is>
          <r>
            <t>220601</t>
          </r>
        </is>
      </c>
      <c r="I14" s="26" t="n">
        <v>46538</v>
      </c>
    </row>
    <row r="15" spans="1:9" ht="24" customHeight="1">
      <c r="A15" s="19" t="str">
        <f>IF($B$4="","",$B$4)</f>
        <v/>
      </c>
      <c r="B15" s="19" t="str">
        <f>IF($E$4="","",$E$4)</f>
        <v/>
      </c>
      <c r="C15" s="20"/>
      <c r="D15" s="21"/>
      <c r="E15" s="20"/>
      <c r="F15" s="28" t="inlineStr">
        <is>
          <r>
            <t>52</t>
          </r>
        </is>
      </c>
      <c r="G15" s="12" t="inlineStr">
        <is>
          <r>
            <t>PCA300/2ml without button (TUOREN)</t>
          </r>
        </is>
      </c>
      <c r="H15" s="28" t="inlineStr">
        <is>
          <r>
            <t>230625</t>
          </r>
        </is>
      </c>
      <c r="I15" s="26" t="n">
        <v>46928</v>
      </c>
    </row>
    <row r="16" spans="1:9" ht="24" customHeight="1">
      <c r="A16" s="19" t="str">
        <f>IF($B$4="","",$B$4)</f>
        <v/>
      </c>
      <c r="B16" s="19" t="str">
        <f>IF($E$4="","",$E$4)</f>
        <v/>
      </c>
      <c r="C16" s="20"/>
      <c r="D16" s="21"/>
      <c r="E16" s="20"/>
      <c r="F16" s="28" t="inlineStr">
        <is>
          <r>
            <t>70</t>
          </r>
        </is>
      </c>
      <c r="G16" s="12" t="inlineStr">
        <is>
          <r>
            <t>trocar 12mm unimicro</t>
          </r>
        </is>
      </c>
      <c r="H16" s="28" t="inlineStr">
        <is>
          <r>
            <t>U24092318</t>
          </r>
        </is>
      </c>
      <c r="I16" s="26" t="n">
        <v>46658</v>
      </c>
    </row>
    <row r="17" spans="1:9" ht="24" customHeight="1">
      <c r="A17" s="19" t="str">
        <f>IF($B$4="","",$B$4)</f>
        <v/>
      </c>
      <c r="B17" s="19" t="str">
        <f>IF($E$4="","",$E$4)</f>
        <v/>
      </c>
      <c r="C17" s="20"/>
      <c r="D17" s="21"/>
      <c r="E17" s="20"/>
      <c r="F17" s="28" t="inlineStr">
        <is>
          <r>
            <t>71</t>
          </r>
        </is>
      </c>
      <c r="G17" s="12" t="inlineStr">
        <is>
          <r>
            <t>cannula 12mm unimicro</t>
          </r>
        </is>
      </c>
      <c r="H17" s="28" t="inlineStr">
        <is>
          <r>
            <t>U24092318</t>
          </r>
        </is>
      </c>
      <c r="I17" s="26" t="n">
        <v>46658</v>
      </c>
    </row>
    <row r="18" spans="1:9" ht="24" customHeight="1">
      <c r="A18" s="19" t="str">
        <f>IF($B$4="","",$B$4)</f>
        <v/>
      </c>
      <c r="B18" s="19" t="str">
        <f>IF($E$4="","",$E$4)</f>
        <v/>
      </c>
      <c r="C18" s="20"/>
      <c r="D18" s="21"/>
      <c r="E18" s="20"/>
      <c r="F18" s="28" t="inlineStr">
        <is>
          <r>
            <t>72</t>
          </r>
        </is>
      </c>
      <c r="G18" s="12" t="inlineStr">
        <is>
          <r>
            <t>trocar 7-10mm unimicro</t>
          </r>
        </is>
      </c>
      <c r="H18" s="28" t="inlineStr">
        <is>
          <r>
            <t>U26010601</t>
          </r>
        </is>
      </c>
      <c r="I18" s="26" t="n">
        <v>47131</v>
      </c>
    </row>
    <row r="19" spans="1:9" ht="24" customHeight="1">
      <c r="A19" s="19" t="str">
        <f>IF($B$4="","",$B$4)</f>
        <v/>
      </c>
      <c r="B19" s="19" t="str">
        <f>IF($E$4="","",$E$4)</f>
        <v/>
      </c>
      <c r="C19" s="20"/>
      <c r="D19" s="21"/>
      <c r="E19" s="20"/>
      <c r="F19" s="28" t="inlineStr">
        <is>
          <r>
            <t>75</t>
          </r>
        </is>
      </c>
      <c r="G19" s="12" t="inlineStr">
        <is>
          <r>
            <t>Exofin Topical Skin Adhesive 1g</t>
          </r>
        </is>
      </c>
      <c r="H19" s="28" t="inlineStr">
        <is>
          <r>
            <t>0469-E3</t>
          </r>
        </is>
      </c>
      <c r="I19" s="26" t="n">
        <v>46351</v>
      </c>
    </row>
    <row r="20" spans="1:9" ht="24" customHeight="1">
      <c r="A20" s="19" t="str">
        <f>IF($B$4="","",$B$4)</f>
        <v/>
      </c>
      <c r="B20" s="19" t="str">
        <f>IF($E$4="","",$E$4)</f>
        <v/>
      </c>
      <c r="C20" s="20"/>
      <c r="D20" s="21"/>
      <c r="E20" s="20"/>
      <c r="F20" s="28" t="inlineStr">
        <is>
          <r>
            <t>75</t>
          </r>
        </is>
      </c>
      <c r="G20" s="12" t="inlineStr">
        <is>
          <r>
            <t>Exofin Topical Skin Adhesive 1g</t>
          </r>
        </is>
      </c>
      <c r="H20" s="28" t="inlineStr">
        <is>
          <r>
            <t>0505-E2</t>
          </r>
        </is>
      </c>
      <c r="I20" s="26" t="n">
        <v>46634</v>
      </c>
    </row>
    <row r="21" spans="1:9" ht="24" customHeight="1">
      <c r="A21" s="19" t="str">
        <f>IF($B$4="","",$B$4)</f>
        <v/>
      </c>
      <c r="B21" s="19" t="str">
        <f>IF($E$4="","",$E$4)</f>
        <v/>
      </c>
      <c r="C21" s="20"/>
      <c r="D21" s="21"/>
      <c r="E21" s="20"/>
      <c r="F21" s="28" t="inlineStr">
        <is>
          <r>
            <t>78</t>
          </r>
        </is>
      </c>
      <c r="G21" s="13"/>
      <c r="H21" s="28" t="inlineStr">
        <is>
          <r>
            <t>24041704</t>
          </r>
        </is>
      </c>
      <c r="I21" s="26" t="n">
        <v>46135</v>
      </c>
    </row>
    <row r="22" spans="1:9" ht="24" customHeight="1">
      <c r="A22" s="19" t="str">
        <f>IF($B$4="","",$B$4)</f>
        <v/>
      </c>
      <c r="B22" s="19" t="str">
        <f>IF($E$4="","",$E$4)</f>
        <v/>
      </c>
      <c r="C22" s="20"/>
      <c r="D22" s="21"/>
      <c r="E22" s="20"/>
      <c r="F22" s="28" t="inlineStr">
        <is>
          <r>
            <t>78</t>
          </r>
        </is>
      </c>
      <c r="G22" s="13"/>
      <c r="H22" s="28" t="inlineStr">
        <is>
          <r>
            <t>24101201</t>
          </r>
        </is>
      </c>
      <c r="I22" s="26" t="n">
        <v>46311</v>
      </c>
    </row>
    <row r="23" spans="1:9" ht="24" customHeight="1">
      <c r="A23" s="19" t="str">
        <f>IF($B$4="","",$B$4)</f>
        <v/>
      </c>
      <c r="B23" s="19" t="str">
        <f>IF($E$4="","",$E$4)</f>
        <v/>
      </c>
      <c r="C23" s="20"/>
      <c r="D23" s="21"/>
      <c r="E23" s="20"/>
      <c r="F23" s="28" t="inlineStr">
        <is>
          <r>
            <t>90</t>
          </r>
        </is>
      </c>
      <c r="G23" s="12" t="inlineStr">
        <is>
          <r>
            <t>cannula 7-10mm unimicro</t>
          </r>
        </is>
      </c>
      <c r="H23" s="28" t="inlineStr">
        <is>
          <r>
            <t>U24092314</t>
          </r>
        </is>
      </c>
      <c r="I23" s="26" t="n">
        <v>46658</v>
      </c>
    </row>
    <row r="24" spans="1:9" ht="24" customHeight="1">
      <c r="A24" s="19" t="str">
        <f>IF($B$4="","",$B$4)</f>
        <v/>
      </c>
      <c r="B24" s="19" t="str">
        <f>IF($E$4="","",$E$4)</f>
        <v/>
      </c>
      <c r="C24" s="20"/>
      <c r="D24" s="21"/>
      <c r="E24" s="20"/>
      <c r="F24" s="28" t="inlineStr">
        <is>
          <r>
            <t>94</t>
          </r>
        </is>
      </c>
      <c r="G24" s="12" t="inlineStr">
        <is>
          <r>
            <t>trocar percion size 12mm</t>
          </r>
        </is>
      </c>
      <c r="H24" s="28" t="inlineStr">
        <is>
          <r>
            <t>AET110</t>
          </r>
        </is>
      </c>
      <c r="I24" s="26" t="n">
        <v>46262</v>
      </c>
    </row>
    <row r="25" spans="1:9" ht="24" customHeight="1">
      <c r="A25" s="19" t="str">
        <f>IF($B$4="","",$B$4)</f>
        <v/>
      </c>
      <c r="B25" s="19" t="str">
        <f>IF($E$4="","",$E$4)</f>
        <v/>
      </c>
      <c r="C25" s="20"/>
      <c r="D25" s="21"/>
      <c r="E25" s="20"/>
      <c r="F25" s="28" t="inlineStr">
        <is>
          <r>
            <t>100</t>
          </r>
        </is>
      </c>
      <c r="G25" s="12" t="inlineStr">
        <is>
          <r>
            <t>Surg-Spon Hemostatic Powder 1g</t>
          </r>
        </is>
      </c>
      <c r="H25" s="28" t="inlineStr">
        <is>
          <r>
            <t>0823020</t>
          </r>
        </is>
      </c>
      <c r="I25" s="26" t="inlineStr">
        <is>
          <r>
            <t>7-2026</t>
          </r>
        </is>
      </c>
    </row>
    <row r="26" spans="1:9" ht="24" customHeight="1">
      <c r="A26" s="19" t="str">
        <f>IF($B$4="","",$B$4)</f>
        <v/>
      </c>
      <c r="B26" s="19" t="str">
        <f>IF($E$4="","",$E$4)</f>
        <v/>
      </c>
      <c r="C26" s="20"/>
      <c r="D26" s="21"/>
      <c r="E26" s="20"/>
      <c r="F26" s="28" t="inlineStr">
        <is>
          <r>
            <t>101</t>
          </r>
        </is>
      </c>
      <c r="G26" s="12" t="inlineStr">
        <is>
          <r>
            <t>Powered endoscopic stapler 60mm</t>
          </r>
        </is>
      </c>
      <c r="H26" s="28" t="inlineStr">
        <is>
          <r>
            <t>36052024003</t>
          </r>
        </is>
      </c>
      <c r="I26" s="26" t="n">
        <v>46585</v>
      </c>
    </row>
    <row r="27" spans="1:9" ht="24" customHeight="1">
      <c r="A27" s="19" t="str">
        <f>IF($B$4="","",$B$4)</f>
        <v/>
      </c>
      <c r="B27" s="19" t="str">
        <f>IF($E$4="","",$E$4)</f>
        <v/>
      </c>
      <c r="C27" s="20"/>
      <c r="D27" s="21"/>
      <c r="E27" s="20"/>
      <c r="F27" s="28" t="inlineStr">
        <is>
          <r>
            <t>101</t>
          </r>
        </is>
      </c>
      <c r="G27" s="12" t="inlineStr">
        <is>
          <r>
            <t>Powered endoscopic stapler 60mm</t>
          </r>
        </is>
      </c>
      <c r="H27" s="28" t="inlineStr">
        <is>
          <r>
            <t>36052024004</t>
          </r>
        </is>
      </c>
      <c r="I27" s="26" t="n">
        <v>46643</v>
      </c>
    </row>
    <row r="28" spans="1:9" ht="24" customHeight="1">
      <c r="A28" s="19" t="str">
        <f>IF($B$4="","",$B$4)</f>
        <v/>
      </c>
      <c r="B28" s="19" t="str">
        <f>IF($E$4="","",$E$4)</f>
        <v/>
      </c>
      <c r="C28" s="20"/>
      <c r="D28" s="21"/>
      <c r="E28" s="20"/>
      <c r="F28" s="28" t="inlineStr">
        <is>
          <r>
            <t>101</t>
          </r>
        </is>
      </c>
      <c r="G28" s="12" t="inlineStr">
        <is>
          <r>
            <t>Powered endoscopic stapler 60mm</t>
          </r>
        </is>
      </c>
      <c r="H28" s="28" t="inlineStr">
        <is>
          <r>
            <t>36052025002</t>
          </r>
        </is>
      </c>
      <c r="I28" s="26" t="n">
        <v>46770</v>
      </c>
    </row>
    <row r="29" spans="1:9" ht="24" customHeight="1">
      <c r="A29" s="19" t="str">
        <f>IF($B$4="","",$B$4)</f>
        <v/>
      </c>
      <c r="B29" s="19" t="str">
        <f>IF($E$4="","",$E$4)</f>
        <v/>
      </c>
      <c r="C29" s="20"/>
      <c r="D29" s="21"/>
      <c r="E29" s="20"/>
      <c r="F29" s="28" t="inlineStr">
        <is>
          <r>
            <t>101</t>
          </r>
        </is>
      </c>
      <c r="G29" s="12" t="inlineStr">
        <is>
          <r>
            <t>Powered endoscopic stapler 60mm</t>
          </r>
        </is>
      </c>
      <c r="H29" s="28" t="inlineStr">
        <is>
          <r>
            <t>36052025003</t>
          </r>
        </is>
      </c>
      <c r="I29" s="26" t="n">
        <v>46827</v>
      </c>
    </row>
    <row r="30" spans="1:9" ht="24" customHeight="1">
      <c r="A30" s="19" t="str">
        <f>IF($B$4="","",$B$4)</f>
        <v/>
      </c>
      <c r="B30" s="19" t="str">
        <f>IF($E$4="","",$E$4)</f>
        <v/>
      </c>
      <c r="C30" s="20"/>
      <c r="D30" s="21"/>
      <c r="E30" s="20"/>
      <c r="F30" s="28" t="inlineStr">
        <is>
          <r>
            <t>101</t>
          </r>
        </is>
      </c>
      <c r="G30" s="12" t="inlineStr">
        <is>
          <r>
            <t>Powered endoscopic stapler 60mm</t>
          </r>
        </is>
      </c>
      <c r="H30" s="28" t="inlineStr">
        <is>
          <r>
            <t>36052025004</t>
          </r>
        </is>
      </c>
      <c r="I30" s="26" t="n">
        <v>46913</v>
      </c>
    </row>
    <row r="31" spans="1:9" ht="24" customHeight="1">
      <c r="A31" s="19" t="str">
        <f>IF($B$4="","",$B$4)</f>
        <v/>
      </c>
      <c r="B31" s="19" t="str">
        <f>IF($E$4="","",$E$4)</f>
        <v/>
      </c>
      <c r="C31" s="20"/>
      <c r="D31" s="21"/>
      <c r="E31" s="20"/>
      <c r="F31" s="28" t="inlineStr">
        <is>
          <r>
            <t>101</t>
          </r>
        </is>
      </c>
      <c r="G31" s="12" t="inlineStr">
        <is>
          <r>
            <t>Powered endoscopic stapler 60mm</t>
          </r>
        </is>
      </c>
      <c r="H31" s="28" t="inlineStr">
        <is>
          <r>
            <t>36052025009</t>
          </r>
        </is>
      </c>
      <c r="I31" s="26" t="n">
        <v>47077</v>
      </c>
    </row>
    <row r="32" spans="1:9" ht="24" customHeight="1">
      <c r="A32" s="19" t="str">
        <f>IF($B$4="","",$B$4)</f>
        <v/>
      </c>
      <c r="B32" s="19" t="str">
        <f>IF($E$4="","",$E$4)</f>
        <v/>
      </c>
      <c r="C32" s="20"/>
      <c r="D32" s="21"/>
      <c r="E32" s="20"/>
      <c r="F32" s="28" t="inlineStr">
        <is>
          <r>
            <t>102</t>
          </r>
        </is>
      </c>
      <c r="G32" s="12" t="inlineStr">
        <is>
          <r>
            <t>Surg-Spon Hemostatic Powder 3g</t>
          </r>
        </is>
      </c>
      <c r="H32" s="28" t="inlineStr">
        <is>
          <r>
            <t>0823020</t>
          </r>
        </is>
      </c>
      <c r="I32" s="26" t="inlineStr">
        <is>
          <r>
            <t>7-2026</t>
          </r>
        </is>
      </c>
    </row>
    <row r="33" spans="1:9" ht="24" customHeight="1">
      <c r="A33" s="19" t="str">
        <f>IF($B$4="","",$B$4)</f>
        <v/>
      </c>
      <c r="B33" s="19" t="str">
        <f>IF($E$4="","",$E$4)</f>
        <v/>
      </c>
      <c r="C33" s="20"/>
      <c r="D33" s="21"/>
      <c r="E33" s="20"/>
      <c r="F33" s="28" t="inlineStr">
        <is>
          <r>
            <t>103</t>
          </r>
        </is>
      </c>
      <c r="G33" s="12" t="inlineStr">
        <is>
          <r>
            <t>Sterile Applcator 38m</t>
          </r>
        </is>
      </c>
      <c r="H33" s="28" t="inlineStr">
        <is>
          <r>
            <t>SA0824001</t>
          </r>
        </is>
      </c>
      <c r="I33" s="26" t="inlineStr">
        <is>
          <r>
            <t>7-2027</t>
          </r>
        </is>
      </c>
    </row>
    <row r="34" spans="1:9" ht="24" customHeight="1">
      <c r="A34" s="19" t="str">
        <f>IF($B$4="","",$B$4)</f>
        <v/>
      </c>
      <c r="B34" s="19" t="str">
        <f>IF($E$4="","",$E$4)</f>
        <v/>
      </c>
      <c r="C34" s="20"/>
      <c r="D34" s="21"/>
      <c r="E34" s="20"/>
      <c r="F34" s="28" t="inlineStr">
        <is>
          <r>
            <t>103</t>
          </r>
        </is>
      </c>
      <c r="G34" s="12" t="inlineStr">
        <is>
          <r>
            <t>Sterile Applcator 38m</t>
          </r>
        </is>
      </c>
      <c r="H34" s="28" t="inlineStr">
        <is>
          <r>
            <t>SA1023001</t>
          </r>
        </is>
      </c>
      <c r="I34" s="26" t="inlineStr">
        <is>
          <r>
            <t>9-2026</t>
          </r>
        </is>
      </c>
    </row>
    <row r="35" spans="1:9" ht="24" customHeight="1">
      <c r="A35" s="19" t="str">
        <f>IF($B$4="","",$B$4)</f>
        <v/>
      </c>
      <c r="B35" s="19" t="str">
        <f>IF($E$4="","",$E$4)</f>
        <v/>
      </c>
      <c r="C35" s="20"/>
      <c r="D35" s="21"/>
      <c r="E35" s="20"/>
      <c r="F35" s="28" t="inlineStr">
        <is>
          <r>
            <t>105</t>
          </r>
        </is>
      </c>
      <c r="G35" s="12" t="inlineStr">
        <is>
          <r>
            <t>Blue reload 60mm</t>
          </r>
        </is>
      </c>
      <c r="H35" s="28" t="inlineStr">
        <is>
          <r>
            <t>36112024001</t>
          </r>
        </is>
      </c>
      <c r="I35" s="26" t="n">
        <v>46395</v>
      </c>
    </row>
    <row r="36" spans="1:9" ht="24" customHeight="1">
      <c r="A36" s="19" t="str">
        <f>IF($B$4="","",$B$4)</f>
        <v/>
      </c>
      <c r="B36" s="19" t="str">
        <f>IF($E$4="","",$E$4)</f>
        <v/>
      </c>
      <c r="C36" s="20"/>
      <c r="D36" s="21"/>
      <c r="E36" s="20"/>
      <c r="F36" s="28" t="inlineStr">
        <is>
          <r>
            <t>105</t>
          </r>
        </is>
      </c>
      <c r="G36" s="12" t="inlineStr">
        <is>
          <r>
            <t>Blue reload 60mm</t>
          </r>
        </is>
      </c>
      <c r="H36" s="28" t="inlineStr">
        <is>
          <r>
            <t>36112025001</t>
          </r>
        </is>
      </c>
      <c r="I36" s="26" t="n">
        <v>46755</v>
      </c>
    </row>
    <row r="37" spans="1:9" ht="24" customHeight="1">
      <c r="A37" s="19" t="str">
        <f>IF($B$4="","",$B$4)</f>
        <v/>
      </c>
      <c r="B37" s="19" t="str">
        <f>IF($E$4="","",$E$4)</f>
        <v/>
      </c>
      <c r="C37" s="20"/>
      <c r="D37" s="21"/>
      <c r="E37" s="20"/>
      <c r="F37" s="28" t="inlineStr">
        <is>
          <r>
            <t>105</t>
          </r>
        </is>
      </c>
      <c r="G37" s="12" t="inlineStr">
        <is>
          <r>
            <t>Blue reload 60mm</t>
          </r>
        </is>
      </c>
      <c r="H37" s="28" t="inlineStr">
        <is>
          <r>
            <t>36112025003</t>
          </r>
        </is>
      </c>
      <c r="I37" s="26" t="n">
        <v>46827</v>
      </c>
    </row>
    <row r="38" spans="1:9" ht="24" customHeight="1">
      <c r="A38" s="19" t="str">
        <f>IF($B$4="","",$B$4)</f>
        <v/>
      </c>
      <c r="B38" s="19" t="str">
        <f>IF($E$4="","",$E$4)</f>
        <v/>
      </c>
      <c r="C38" s="20"/>
      <c r="D38" s="21"/>
      <c r="E38" s="20"/>
      <c r="F38" s="28" t="inlineStr">
        <is>
          <r>
            <t>105</t>
          </r>
        </is>
      </c>
      <c r="G38" s="12" t="inlineStr">
        <is>
          <r>
            <t>Blue reload 60mm</t>
          </r>
        </is>
      </c>
      <c r="H38" s="28" t="inlineStr">
        <is>
          <r>
            <t>36112025004</t>
          </r>
        </is>
      </c>
      <c r="I38" s="26" t="n">
        <v>46834</v>
      </c>
    </row>
    <row r="39" spans="1:9" ht="24" customHeight="1">
      <c r="A39" s="19" t="str">
        <f>IF($B$4="","",$B$4)</f>
        <v/>
      </c>
      <c r="B39" s="19" t="str">
        <f>IF($E$4="","",$E$4)</f>
        <v/>
      </c>
      <c r="C39" s="20"/>
      <c r="D39" s="21"/>
      <c r="E39" s="20"/>
      <c r="F39" s="28" t="inlineStr">
        <is>
          <r>
            <t>105</t>
          </r>
        </is>
      </c>
      <c r="G39" s="12" t="inlineStr">
        <is>
          <r>
            <t>Blue reload 60mm</t>
          </r>
        </is>
      </c>
      <c r="H39" s="28" t="inlineStr">
        <is>
          <r>
            <t>36112025017</t>
          </r>
        </is>
      </c>
      <c r="I39" s="26" t="n">
        <v>47082</v>
      </c>
    </row>
    <row r="40" spans="1:9" ht="24" customHeight="1">
      <c r="A40" s="19" t="str">
        <f>IF($B$4="","",$B$4)</f>
        <v/>
      </c>
      <c r="B40" s="19" t="str">
        <f>IF($E$4="","",$E$4)</f>
        <v/>
      </c>
      <c r="C40" s="20"/>
      <c r="D40" s="21"/>
      <c r="E40" s="20"/>
      <c r="F40" s="28" t="inlineStr">
        <is>
          <r>
            <t>106</t>
          </r>
        </is>
      </c>
      <c r="G40" s="12" t="inlineStr">
        <is>
          <r>
            <t>Green reload 60mm</t>
          </r>
        </is>
      </c>
      <c r="H40" s="28" t="inlineStr">
        <is>
          <r>
            <t>36132025001</t>
          </r>
        </is>
      </c>
      <c r="I40" s="26"/>
    </row>
    <row r="41" spans="1:9" ht="24" customHeight="1">
      <c r="A41" s="19" t="str">
        <f>IF($B$4="","",$B$4)</f>
        <v/>
      </c>
      <c r="B41" s="19" t="str">
        <f>IF($E$4="","",$E$4)</f>
        <v/>
      </c>
      <c r="C41" s="20"/>
      <c r="D41" s="21"/>
      <c r="E41" s="20"/>
      <c r="F41" s="28" t="inlineStr">
        <is>
          <r>
            <t>106</t>
          </r>
        </is>
      </c>
      <c r="G41" s="12" t="inlineStr">
        <is>
          <r>
            <t>Green reload 60mm</t>
          </r>
        </is>
      </c>
      <c r="H41" s="28" t="inlineStr">
        <is>
          <r>
            <t>36132025002</t>
          </r>
        </is>
      </c>
      <c r="I41" s="26" t="n">
        <v>46762</v>
      </c>
    </row>
    <row r="42" spans="1:9" ht="24" customHeight="1">
      <c r="A42" s="19" t="str">
        <f>IF($B$4="","",$B$4)</f>
        <v/>
      </c>
      <c r="B42" s="19" t="str">
        <f>IF($E$4="","",$E$4)</f>
        <v/>
      </c>
      <c r="C42" s="20"/>
      <c r="D42" s="21"/>
      <c r="E42" s="20"/>
      <c r="F42" s="28" t="inlineStr">
        <is>
          <r>
            <t>106</t>
          </r>
        </is>
      </c>
      <c r="G42" s="12" t="inlineStr">
        <is>
          <r>
            <t>Green reload 60mm</t>
          </r>
        </is>
      </c>
      <c r="H42" s="28" t="inlineStr">
        <is>
          <r>
            <t>36132025003</t>
          </r>
        </is>
      </c>
      <c r="I42" s="26" t="n">
        <v>46830</v>
      </c>
    </row>
    <row r="43" spans="1:9" ht="24" customHeight="1">
      <c r="A43" s="19" t="str">
        <f>IF($B$4="","",$B$4)</f>
        <v/>
      </c>
      <c r="B43" s="19" t="str">
        <f>IF($E$4="","",$E$4)</f>
        <v/>
      </c>
      <c r="C43" s="20"/>
      <c r="D43" s="21"/>
      <c r="E43" s="20"/>
      <c r="F43" s="28" t="inlineStr">
        <is>
          <r>
            <t>107</t>
          </r>
        </is>
      </c>
      <c r="G43" s="12" t="inlineStr">
        <is>
          <r>
            <t>Gold reload 60mm</t>
          </r>
        </is>
      </c>
      <c r="H43" s="28" t="inlineStr">
        <is>
          <r>
            <t>36122025001</t>
          </r>
        </is>
      </c>
      <c r="I43" s="26" t="n">
        <v>46760</v>
      </c>
    </row>
    <row r="44" spans="1:9" ht="24" customHeight="1">
      <c r="A44" s="19" t="str">
        <f>IF($B$4="","",$B$4)</f>
        <v/>
      </c>
      <c r="B44" s="19" t="str">
        <f>IF($E$4="","",$E$4)</f>
        <v/>
      </c>
      <c r="C44" s="20"/>
      <c r="D44" s="21"/>
      <c r="E44" s="20"/>
      <c r="F44" s="28" t="inlineStr">
        <is>
          <r>
            <t>107</t>
          </r>
        </is>
      </c>
      <c r="G44" s="12" t="inlineStr">
        <is>
          <r>
            <t>Gold reload 60mm</t>
          </r>
        </is>
      </c>
      <c r="H44" s="28" t="inlineStr">
        <is>
          <r>
            <t>36122025004</t>
          </r>
        </is>
      </c>
      <c r="I44" s="26" t="n">
        <v>47077</v>
      </c>
    </row>
    <row r="45" spans="1:9" ht="24" customHeight="1">
      <c r="A45" s="19" t="str">
        <f>IF($B$4="","",$B$4)</f>
        <v/>
      </c>
      <c r="B45" s="19" t="str">
        <f>IF($E$4="","",$E$4)</f>
        <v/>
      </c>
      <c r="C45" s="20"/>
      <c r="D45" s="21"/>
      <c r="E45" s="20"/>
      <c r="F45" s="28" t="inlineStr">
        <is>
          <r>
            <t>108</t>
          </r>
        </is>
      </c>
      <c r="G45" s="12" t="inlineStr">
        <is>
          <r>
            <t>Black reload 60mm</t>
          </r>
        </is>
      </c>
      <c r="H45" s="28" t="inlineStr">
        <is>
          <r>
            <t>36142025001</t>
          </r>
        </is>
      </c>
      <c r="I45" s="26" t="n">
        <v>46759</v>
      </c>
    </row>
    <row r="46" spans="1:9" ht="24" customHeight="1">
      <c r="A46" s="19" t="str">
        <f>IF($B$4="","",$B$4)</f>
        <v/>
      </c>
      <c r="B46" s="19" t="str">
        <f>IF($E$4="","",$E$4)</f>
        <v/>
      </c>
      <c r="C46" s="20"/>
      <c r="D46" s="21"/>
      <c r="E46" s="20"/>
      <c r="F46" s="28" t="inlineStr">
        <is>
          <r>
            <t>114</t>
          </r>
        </is>
      </c>
      <c r="G46" s="12" t="inlineStr">
        <is>
          <r>
            <t>EEG Paste ( Cream ) Elektro / 200 gr</t>
          </r>
        </is>
      </c>
      <c r="H46" s="28" t="inlineStr">
        <is>
          <r>
            <t>بدون</t>
          </r>
        </is>
      </c>
      <c r="I46" s="26" t="inlineStr">
        <is>
          <r>
            <t>7-2027</t>
          </r>
        </is>
      </c>
    </row>
    <row r="47" spans="1:9" ht="24" customHeight="1">
      <c r="A47" s="19" t="str">
        <f>IF($B$4="","",$B$4)</f>
        <v/>
      </c>
      <c r="B47" s="19" t="str">
        <f>IF($E$4="","",$E$4)</f>
        <v/>
      </c>
      <c r="C47" s="20"/>
      <c r="D47" s="21"/>
      <c r="E47" s="20"/>
      <c r="F47" s="28" t="inlineStr">
        <is>
          <r>
            <t>115</t>
          </r>
        </is>
      </c>
      <c r="G47" s="12" t="inlineStr">
        <is>
          <r>
            <t>EEG Paste ( Cream ) Wave /250 gr</t>
          </r>
        </is>
      </c>
      <c r="H47" s="28" t="inlineStr">
        <is>
          <r>
            <t>بدون</t>
          </r>
        </is>
      </c>
      <c r="I47" s="26" t="inlineStr">
        <is>
          <r>
            <t>7-2027</t>
          </r>
        </is>
      </c>
    </row>
    <row r="48" spans="1:9" ht="24" customHeight="1">
      <c r="A48" s="19" t="str">
        <f>IF($B$4="","",$B$4)</f>
        <v/>
      </c>
      <c r="B48" s="19" t="str">
        <f>IF($E$4="","",$E$4)</f>
        <v/>
      </c>
      <c r="C48" s="20"/>
      <c r="D48" s="21"/>
      <c r="E48" s="20"/>
      <c r="F48" s="28" t="inlineStr">
        <is>
          <r>
            <t>118</t>
          </r>
        </is>
      </c>
      <c r="G48" s="12" t="inlineStr">
        <is>
          <r>
            <t>EEG Electrodes_PURE SILVER_1500mm  (Pack of 12)</t>
          </r>
        </is>
      </c>
      <c r="H48" s="28" t="inlineStr">
        <is>
          <r>
            <t>بدون</t>
          </r>
        </is>
      </c>
      <c r="I48" s="26" t="inlineStr">
        <is>
          <r>
            <t>بدون</t>
          </r>
        </is>
      </c>
    </row>
    <row r="49" spans="1:9" ht="24" customHeight="1">
      <c r="A49" s="19" t="str">
        <f>IF($B$4="","",$B$4)</f>
        <v/>
      </c>
      <c r="B49" s="19" t="str">
        <f>IF($E$4="","",$E$4)</f>
        <v/>
      </c>
      <c r="C49" s="20"/>
      <c r="D49" s="21"/>
      <c r="E49" s="20"/>
      <c r="F49" s="28" t="inlineStr">
        <is>
          <r>
            <t>125</t>
          </r>
        </is>
      </c>
      <c r="G49" s="12" t="inlineStr">
        <is>
          <r>
            <t>Skin Preparation Gel (Neuprep) 100 gr</t>
          </r>
        </is>
      </c>
      <c r="H49" s="28" t="inlineStr">
        <is>
          <r>
            <t>بدون</t>
          </r>
        </is>
      </c>
      <c r="I49" s="26" t="inlineStr">
        <is>
          <r>
            <t>2027</t>
          </r>
        </is>
      </c>
    </row>
    <row r="50" spans="1:9" ht="24" customHeight="1">
      <c r="A50" s="19" t="str">
        <f>IF($B$4="","",$B$4)</f>
        <v/>
      </c>
      <c r="B50" s="19" t="str">
        <f>IF($E$4="","",$E$4)</f>
        <v/>
      </c>
      <c r="C50" s="20"/>
      <c r="D50" s="21"/>
      <c r="E50" s="20"/>
      <c r="F50" s="28" t="inlineStr">
        <is>
          <r>
            <t>126</t>
          </r>
        </is>
      </c>
      <c r="G50" s="12" t="inlineStr">
        <is>
          <r>
            <t>Skin Preparation Gel (Neuprep)  150 gr</t>
          </r>
        </is>
      </c>
      <c r="H50" s="28" t="inlineStr">
        <is>
          <r>
            <t>بدون</t>
          </r>
        </is>
      </c>
      <c r="I50" s="26" t="inlineStr">
        <is>
          <r>
            <t>2027</t>
          </r>
        </is>
      </c>
    </row>
    <row r="51" spans="1:9" ht="24" customHeight="1">
      <c r="A51" s="19" t="str">
        <f>IF($B$4="","",$B$4)</f>
        <v/>
      </c>
      <c r="B51" s="19" t="str">
        <f>IF($E$4="","",$E$4)</f>
        <v/>
      </c>
      <c r="C51" s="20"/>
      <c r="D51" s="21"/>
      <c r="E51" s="20"/>
      <c r="F51" s="28" t="inlineStr">
        <is>
          <r>
            <t>129</t>
          </r>
        </is>
      </c>
      <c r="G51" s="12" t="inlineStr">
        <is>
          <r>
            <t>Patient Ground_STRAP   (ONE CABLE)</t>
          </r>
        </is>
      </c>
      <c r="H51" s="28" t="inlineStr">
        <is>
          <r>
            <t>بدون</t>
          </r>
        </is>
      </c>
      <c r="I51" s="26" t="inlineStr">
        <is>
          <r>
            <t>بدون</t>
          </r>
        </is>
      </c>
    </row>
    <row r="52" spans="1:9" ht="24" customHeight="1">
      <c r="A52" s="19" t="str">
        <f>IF($B$4="","",$B$4)</f>
        <v/>
      </c>
      <c r="B52" s="19" t="str">
        <f>IF($E$4="","",$E$4)</f>
        <v/>
      </c>
      <c r="C52" s="20"/>
      <c r="D52" s="21"/>
      <c r="E52" s="20"/>
      <c r="F52" s="28" t="inlineStr">
        <is>
          <r>
            <t>136</t>
          </r>
        </is>
      </c>
      <c r="G52" s="12" t="inlineStr">
        <is>
          <r>
            <t>EMG Needle holder</t>
          </r>
        </is>
      </c>
      <c r="H52" s="28" t="inlineStr">
        <is>
          <r>
            <t>1101</t>
          </r>
        </is>
      </c>
      <c r="I52" s="26" t="inlineStr">
        <is>
          <r>
            <t>10-2032</t>
          </r>
        </is>
      </c>
    </row>
    <row r="53" spans="1:9" ht="24" customHeight="1">
      <c r="A53" s="19" t="str">
        <f>IF($B$4="","",$B$4)</f>
        <v/>
      </c>
      <c r="B53" s="19" t="str">
        <f>IF($E$4="","",$E$4)</f>
        <v/>
      </c>
      <c r="C53" s="20"/>
      <c r="D53" s="21"/>
      <c r="E53" s="20"/>
      <c r="F53" s="28" t="inlineStr">
        <is>
          <r>
            <t>137</t>
          </r>
        </is>
      </c>
      <c r="G53" s="12" t="inlineStr">
        <is>
          <r>
            <t>Oryx EMG Needle 5 cm disposable for neurophysiology ( yellow)</t>
          </r>
        </is>
      </c>
      <c r="H53" s="28" t="inlineStr">
        <is>
          <r>
            <t>6565</t>
          </r>
        </is>
      </c>
      <c r="I53" s="26" t="n">
        <v>46744</v>
      </c>
    </row>
    <row r="54" spans="1:9" ht="24" customHeight="1">
      <c r="A54" s="19" t="str">
        <f>IF($B$4="","",$B$4)</f>
        <v/>
      </c>
      <c r="B54" s="19" t="str">
        <f>IF($E$4="","",$E$4)</f>
        <v/>
      </c>
      <c r="C54" s="20"/>
      <c r="D54" s="21"/>
      <c r="E54" s="20"/>
      <c r="F54" s="28" t="inlineStr">
        <is>
          <r>
            <t>137</t>
          </r>
        </is>
      </c>
      <c r="G54" s="12" t="inlineStr">
        <is>
          <r>
            <t>Oryx EMG Needle 5 cm disposable for neurophysiology ( yellow)</t>
          </r>
        </is>
      </c>
      <c r="H54" s="28" t="inlineStr">
        <is>
          <r>
            <t>NN22B6339</t>
          </r>
        </is>
      </c>
      <c r="I54" s="26" t="inlineStr">
        <is>
          <r>
            <t>3-2027</t>
          </r>
        </is>
      </c>
    </row>
    <row r="55" spans="1:9" ht="24" customHeight="1">
      <c r="A55" s="19" t="str">
        <f>IF($B$4="","",$B$4)</f>
        <v/>
      </c>
      <c r="B55" s="19" t="str">
        <f>IF($E$4="","",$E$4)</f>
        <v/>
      </c>
      <c r="C55" s="20"/>
      <c r="D55" s="21"/>
      <c r="E55" s="20"/>
      <c r="F55" s="28" t="inlineStr">
        <is>
          <r>
            <t>138</t>
          </r>
        </is>
      </c>
      <c r="G55" s="12" t="inlineStr">
        <is>
          <r>
            <t>Oryx EMG Needle 3.8 cm</t>
          </r>
        </is>
      </c>
      <c r="H55" s="28" t="inlineStr">
        <is>
          <r>
            <t>6219</t>
          </r>
        </is>
      </c>
      <c r="I55" s="26" t="inlineStr">
        <is>
          <r>
            <t>5-2027</t>
          </r>
        </is>
      </c>
    </row>
    <row r="56" spans="1:9" ht="24" customHeight="1">
      <c r="A56" s="19" t="str">
        <f>IF($B$4="","",$B$4)</f>
        <v/>
      </c>
      <c r="B56" s="19" t="str">
        <f>IF($E$4="","",$E$4)</f>
        <v/>
      </c>
      <c r="C56" s="20"/>
      <c r="D56" s="21"/>
      <c r="E56" s="20"/>
      <c r="F56" s="28" t="inlineStr">
        <is>
          <r>
            <t>138</t>
          </r>
        </is>
      </c>
      <c r="G56" s="12" t="inlineStr">
        <is>
          <r>
            <t>Oryx EMG Needle 3.8 cm</t>
          </r>
        </is>
      </c>
      <c r="H56" s="28" t="inlineStr">
        <is>
          <r>
            <t>6567</t>
          </r>
        </is>
      </c>
      <c r="I56" s="26" t="n">
        <v>46745</v>
      </c>
    </row>
    <row r="57" spans="1:9" ht="24" customHeight="1">
      <c r="A57" s="19" t="str">
        <f>IF($B$4="","",$B$4)</f>
        <v/>
      </c>
      <c r="B57" s="19" t="str">
        <f>IF($E$4="","",$E$4)</f>
        <v/>
      </c>
      <c r="C57" s="20"/>
      <c r="D57" s="21"/>
      <c r="E57" s="20"/>
      <c r="F57" s="28" t="inlineStr">
        <is>
          <r>
            <t>139</t>
          </r>
        </is>
      </c>
      <c r="G57" s="12" t="inlineStr">
        <is>
          <r>
            <t>paste cream demo</t>
          </r>
        </is>
      </c>
      <c r="H57" s="28" t="inlineStr">
        <is>
          <r>
            <t>بدون</t>
          </r>
        </is>
      </c>
      <c r="I57" s="26" t="inlineStr">
        <is>
          <r>
            <t>7-2027</t>
          </r>
        </is>
      </c>
    </row>
    <row r="58" spans="1:9" ht="24" customHeight="1">
      <c r="A58" s="19" t="str">
        <f>IF($B$4="","",$B$4)</f>
        <v/>
      </c>
      <c r="B58" s="19" t="str">
        <f>IF($E$4="","",$E$4)</f>
        <v/>
      </c>
      <c r="C58" s="20"/>
      <c r="D58" s="21"/>
      <c r="E58" s="20"/>
      <c r="F58" s="28" t="inlineStr">
        <is>
          <r>
            <t>141</t>
          </r>
        </is>
      </c>
      <c r="G58" s="12" t="inlineStr">
        <is>
          <r>
            <t>HEMO STATIC POWDER 2g</t>
          </r>
        </is>
      </c>
      <c r="H58" s="28" t="inlineStr">
        <is>
          <r>
            <t>0823020</t>
          </r>
        </is>
      </c>
      <c r="I58" s="26" t="inlineStr">
        <is>
          <r>
            <t>7-2026</t>
          </r>
        </is>
      </c>
    </row>
    <row r="59" spans="1:9" ht="24" customHeight="1">
      <c r="A59" s="19" t="str">
        <f>IF($B$4="","",$B$4)</f>
        <v/>
      </c>
      <c r="B59" s="19" t="str">
        <f>IF($E$4="","",$E$4)</f>
        <v/>
      </c>
      <c r="C59" s="20"/>
      <c r="D59" s="21"/>
      <c r="E59" s="20"/>
      <c r="F59" s="28" t="inlineStr">
        <is>
          <r>
            <t>142</t>
          </r>
        </is>
      </c>
      <c r="G59" s="12" t="inlineStr">
        <is>
          <r>
            <t>PCA 275/5 ML With button (Fornia)</t>
          </r>
        </is>
      </c>
      <c r="H59" s="28" t="inlineStr">
        <is>
          <r>
            <t>20240525781</t>
          </r>
        </is>
      </c>
      <c r="I59" s="26" t="n">
        <v>46531</v>
      </c>
    </row>
    <row r="60" spans="1:9" ht="24" customHeight="1">
      <c r="A60" s="19" t="str">
        <f>IF($B$4="","",$B$4)</f>
        <v/>
      </c>
      <c r="B60" s="19" t="str">
        <f>IF($E$4="","",$E$4)</f>
        <v/>
      </c>
      <c r="C60" s="20"/>
      <c r="D60" s="21"/>
      <c r="E60" s="20"/>
      <c r="F60" s="28" t="inlineStr">
        <is>
          <r>
            <t>142</t>
          </r>
        </is>
      </c>
      <c r="G60" s="12" t="inlineStr">
        <is>
          <r>
            <t>PCA 275/5 ML With button (Fornia)</t>
          </r>
        </is>
      </c>
      <c r="H60" s="28" t="inlineStr">
        <is>
          <r>
            <t>20241219031</t>
          </r>
        </is>
      </c>
      <c r="I60" s="26" t="inlineStr">
        <is>
          <r>
            <t>2027-12-18</t>
          </r>
        </is>
      </c>
    </row>
    <row r="61" spans="1:9" ht="24" customHeight="1">
      <c r="A61" s="19" t="str">
        <f>IF($B$4="","",$B$4)</f>
        <v/>
      </c>
      <c r="B61" s="19" t="str">
        <f>IF($E$4="","",$E$4)</f>
        <v/>
      </c>
      <c r="C61" s="20"/>
      <c r="D61" s="21"/>
      <c r="E61" s="20"/>
      <c r="F61" s="28" t="inlineStr">
        <is>
          <r>
            <t>142</t>
          </r>
        </is>
      </c>
      <c r="G61" s="12" t="inlineStr">
        <is>
          <r>
            <t>PCA 275/5 ML With button (Fornia)</t>
          </r>
        </is>
      </c>
      <c r="H61" s="28" t="inlineStr">
        <is>
          <r>
            <t>20251009031</t>
          </r>
        </is>
      </c>
      <c r="I61" s="26" t="inlineStr">
        <is>
          <r>
            <t>2028-10-08</t>
          </r>
        </is>
      </c>
    </row>
    <row r="62" spans="1:9" ht="24" customHeight="1">
      <c r="A62" s="19" t="str">
        <f>IF($B$4="","",$B$4)</f>
        <v/>
      </c>
      <c r="B62" s="19" t="str">
        <f>IF($E$4="","",$E$4)</f>
        <v/>
      </c>
      <c r="C62" s="20"/>
      <c r="D62" s="21"/>
      <c r="E62" s="20"/>
      <c r="F62" s="28" t="inlineStr">
        <is>
          <r>
            <t>143</t>
          </r>
        </is>
      </c>
      <c r="G62" s="12" t="inlineStr">
        <is>
          <r>
            <t>PCA 100/2 ML With button (Fornia)</t>
          </r>
        </is>
      </c>
      <c r="H62" s="28" t="inlineStr">
        <is>
          <r>
            <t>20241212031</t>
          </r>
        </is>
      </c>
      <c r="I62" s="26" t="n">
        <v>46732</v>
      </c>
    </row>
    <row r="63" spans="1:9" ht="24" customHeight="1">
      <c r="A63" s="19" t="str">
        <f>IF($B$4="","",$B$4)</f>
        <v/>
      </c>
      <c r="B63" s="19" t="str">
        <f>IF($E$4="","",$E$4)</f>
        <v/>
      </c>
      <c r="C63" s="20"/>
      <c r="D63" s="21"/>
      <c r="E63" s="20"/>
      <c r="F63" s="28" t="inlineStr">
        <is>
          <r>
            <t>144</t>
          </r>
        </is>
      </c>
      <c r="G63" s="12" t="inlineStr">
        <is>
          <r>
            <t>PCA 100/4 ML With button (Fornia)</t>
          </r>
        </is>
      </c>
      <c r="H63" s="28" t="inlineStr">
        <is>
          <r>
            <t>20241213031</t>
          </r>
        </is>
      </c>
      <c r="I63" s="26" t="n">
        <v>46733</v>
      </c>
    </row>
    <row r="64" spans="1:9" ht="24" customHeight="1">
      <c r="A64" s="19" t="str">
        <f>IF($B$4="","",$B$4)</f>
        <v/>
      </c>
      <c r="B64" s="19" t="str">
        <f>IF($E$4="","",$E$4)</f>
        <v/>
      </c>
      <c r="C64" s="20"/>
      <c r="D64" s="21"/>
      <c r="E64" s="20"/>
      <c r="F64" s="28" t="inlineStr">
        <is>
          <r>
            <t>144</t>
          </r>
        </is>
      </c>
      <c r="G64" s="12" t="inlineStr">
        <is>
          <r>
            <t>PCA 100/4 ML With button (Fornia)</t>
          </r>
        </is>
      </c>
      <c r="H64" s="28" t="inlineStr">
        <is>
          <r>
            <t>20251014031</t>
          </r>
        </is>
      </c>
      <c r="I64" s="26" t="n">
        <v>47039</v>
      </c>
    </row>
    <row r="65" spans="1:9" ht="24" customHeight="1">
      <c r="A65" s="19" t="str">
        <f>IF($B$4="","",$B$4)</f>
        <v/>
      </c>
      <c r="B65" s="19" t="str">
        <f>IF($E$4="","",$E$4)</f>
        <v/>
      </c>
      <c r="C65" s="20"/>
      <c r="D65" s="21"/>
      <c r="E65" s="20"/>
      <c r="F65" s="28" t="inlineStr">
        <is>
          <r>
            <t>30010</t>
          </r>
        </is>
      </c>
      <c r="G65" s="12" t="inlineStr">
        <is>
          <r>
            <t>Touren pca 300 multirate without button</t>
          </r>
        </is>
      </c>
      <c r="H65" s="28" t="inlineStr">
        <is>
          <r>
            <t>240519</t>
          </r>
        </is>
      </c>
      <c r="I65" s="26" t="n">
        <v>47256</v>
      </c>
    </row>
    <row r="66" spans="1:9" ht="24" customHeight="1">
      <c r="A66" s="19" t="str">
        <f>IF($B$4="","",$B$4)</f>
        <v/>
      </c>
      <c r="B66" s="19" t="str">
        <f>IF($E$4="","",$E$4)</f>
        <v/>
      </c>
      <c r="C66" s="20"/>
      <c r="D66" s="21"/>
      <c r="E66" s="20"/>
      <c r="F66" s="28" t="inlineStr">
        <is>
          <r>
            <t>BATTERY</t>
          </r>
        </is>
      </c>
      <c r="G66" s="12" t="inlineStr">
        <is>
          <r>
            <t>stapler battery</t>
          </r>
        </is>
      </c>
      <c r="H66" s="28" t="inlineStr">
        <is>
          <r>
            <t>بدون</t>
          </r>
        </is>
      </c>
      <c r="I66" s="26" t="n">
        <v>46405</v>
      </c>
    </row>
    <row r="67" spans="1:9" ht="24" customHeight="1">
      <c r="A67" s="19" t="str">
        <f>IF($B$4="","",$B$4)</f>
        <v/>
      </c>
      <c r="B67" s="19" t="str">
        <f>IF($E$4="","",$E$4)</f>
        <v/>
      </c>
      <c r="C67" s="20"/>
      <c r="D67" s="21"/>
      <c r="E67" s="20"/>
      <c r="F67" s="28" t="inlineStr">
        <is>
          <r>
            <t>ESA60-2.6</t>
          </r>
        </is>
      </c>
      <c r="G67" s="12" t="inlineStr">
        <is>
          <r>
            <t>White reload 60mm</t>
          </r>
        </is>
      </c>
      <c r="H67" s="28" t="inlineStr">
        <is>
          <r>
            <t>36102025011</t>
          </r>
        </is>
      </c>
      <c r="I67" s="26" t="n">
        <v>47075</v>
      </c>
    </row>
    <row r="68" spans="1:9" ht="24" customHeight="1">
      <c r="A68" s="19" t="str">
        <f>IF($B$4="","",$B$4)</f>
        <v/>
      </c>
      <c r="B68" s="19" t="str">
        <f>IF($E$4="","",$E$4)</f>
        <v/>
      </c>
      <c r="C68" s="20"/>
      <c r="D68" s="21"/>
      <c r="E68" s="20"/>
      <c r="F68" s="28" t="inlineStr">
        <is>
          <r>
            <t>HF5137</t>
          </r>
        </is>
      </c>
      <c r="G68" s="13"/>
      <c r="H68" s="28" t="inlineStr">
        <is>
          <r>
            <t>53022026002</t>
          </r>
        </is>
      </c>
      <c r="I68" s="26" t="n">
        <v>47522</v>
      </c>
    </row>
    <row r="69" spans="1:9" ht="24" customHeight="1">
      <c r="A69" s="19" t="str">
        <f>IF($B$4="","",$B$4)</f>
        <v/>
      </c>
      <c r="B69" s="19" t="str">
        <f>IF($E$4="","",$E$4)</f>
        <v/>
      </c>
      <c r="C69" s="20"/>
      <c r="D69" s="21"/>
      <c r="E69" s="20"/>
      <c r="F69" s="28" t="inlineStr">
        <is>
          <r>
            <t>QELC</t>
          </r>
        </is>
      </c>
      <c r="G69" s="12" t="inlineStr">
        <is>
          <r>
            <t>Universal Endoscopic linear cutting stapler and single use loading unit</t>
          </r>
        </is>
      </c>
      <c r="H69" s="28" t="inlineStr">
        <is>
          <r>
            <t>01012023004</t>
          </r>
        </is>
      </c>
      <c r="I69" s="26" t="n">
        <v>46715</v>
      </c>
    </row>
    <row r="70" spans="1:9" ht="24" customHeight="1">
      <c r="A70" s="19" t="str">
        <f>IF($B$4="","",$B$4)</f>
        <v/>
      </c>
      <c r="B70" s="19" t="str">
        <f>IF($E$4="","",$E$4)</f>
        <v/>
      </c>
      <c r="C70" s="20"/>
      <c r="D70" s="21"/>
      <c r="E70" s="20"/>
      <c r="F70" s="28" t="inlineStr">
        <is>
          <r>
            <t>QELC 6035B</t>
          </r>
        </is>
      </c>
      <c r="G70" s="12" t="inlineStr">
        <is>
          <r>
            <t>single use loading unit -60mm _3.5mm purple</t>
          </r>
        </is>
      </c>
      <c r="H70" s="28" t="inlineStr">
        <is>
          <r>
            <t>01552022024951</t>
          </r>
        </is>
      </c>
      <c r="I70" s="26" t="n">
        <v>46313</v>
      </c>
    </row>
    <row r="71" spans="1:9" ht="24" customHeight="1">
      <c r="A71" s="19" t="str">
        <f>IF($B$4="","",$B$4)</f>
        <v/>
      </c>
      <c r="B71" s="19" t="str">
        <f>IF($E$4="","",$E$4)</f>
        <v/>
      </c>
      <c r="C71" s="20"/>
      <c r="D71" s="21"/>
      <c r="E71" s="20"/>
      <c r="F71" s="28" t="inlineStr">
        <is>
          <r>
            <t>SA-14</t>
          </r>
        </is>
      </c>
      <c r="G71" s="12" t="inlineStr">
        <is>
          <r>
            <t>Sterile Applcator 14cm for surgy Spong</t>
          </r>
        </is>
      </c>
      <c r="H71" s="28" t="inlineStr">
        <is>
          <r>
            <t>SA0824001</t>
          </r>
        </is>
      </c>
      <c r="I71" s="26" t="inlineStr">
        <is>
          <r>
            <t>7-2027</t>
          </r>
        </is>
      </c>
    </row>
    <row r="72" spans="1:9" ht="24" customHeight="1">
      <c r="A72" s="29" t="str">
        <f>IF($B$4="","",$B$4)</f>
        <v/>
      </c>
      <c r="B72" s="29" t="str">
        <f>IF($E$4="","",$E$4)</f>
        <v/>
      </c>
      <c r="C72" s="30"/>
      <c r="D72" s="31"/>
      <c r="E72" s="30"/>
      <c r="F72" s="32"/>
      <c r="G72" s="33"/>
      <c r="H72" s="32"/>
      <c r="I72" s="34"/>
    </row>
    <row r="73" spans="1:9" ht="24" customHeight="1">
      <c r="A73" s="19" t="str">
        <f>IF($B$4="","",$B$4)</f>
        <v/>
      </c>
      <c r="B73" s="19" t="str">
        <f>IF($E$4="","",$E$4)</f>
        <v/>
      </c>
      <c r="C73" s="20"/>
      <c r="D73" s="21"/>
      <c r="E73" s="20"/>
      <c r="F73" s="35"/>
      <c r="G73" s="14"/>
      <c r="H73" s="35"/>
      <c r="I73" s="36"/>
    </row>
    <row r="74" spans="1:9" ht="24" customHeight="1">
      <c r="A74" s="19" t="str">
        <f>IF($B$4="","",$B$4)</f>
        <v/>
      </c>
      <c r="B74" s="19" t="str">
        <f>IF($E$4="","",$E$4)</f>
        <v/>
      </c>
      <c r="C74" s="20"/>
      <c r="D74" s="21"/>
      <c r="E74" s="20"/>
      <c r="F74" s="35"/>
      <c r="G74" s="14"/>
      <c r="H74" s="35"/>
      <c r="I74" s="36"/>
    </row>
    <row r="75" spans="1:9" ht="24" customHeight="1">
      <c r="A75" s="19" t="str">
        <f>IF($B$4="","",$B$4)</f>
        <v/>
      </c>
      <c r="B75" s="19" t="str">
        <f>IF($E$4="","",$E$4)</f>
        <v/>
      </c>
      <c r="C75" s="20"/>
      <c r="D75" s="21"/>
      <c r="E75" s="20"/>
      <c r="F75" s="35"/>
      <c r="G75" s="14"/>
      <c r="H75" s="35"/>
      <c r="I75" s="36"/>
    </row>
    <row r="76" spans="1:9" ht="24" customHeight="1">
      <c r="A76" s="19" t="str">
        <f>IF($B$4="","",$B$4)</f>
        <v/>
      </c>
      <c r="B76" s="19" t="str">
        <f>IF($E$4="","",$E$4)</f>
        <v/>
      </c>
      <c r="C76" s="20"/>
      <c r="D76" s="21"/>
      <c r="E76" s="20"/>
      <c r="F76" s="35"/>
      <c r="G76" s="14"/>
      <c r="H76" s="35"/>
      <c r="I76" s="36"/>
    </row>
    <row r="77" spans="1:9" ht="24" customHeight="1">
      <c r="A77" s="19" t="str">
        <f>IF($B$4="","",$B$4)</f>
        <v/>
      </c>
      <c r="B77" s="19" t="str">
        <f>IF($E$4="","",$E$4)</f>
        <v/>
      </c>
      <c r="C77" s="20"/>
      <c r="D77" s="21"/>
      <c r="E77" s="20"/>
      <c r="F77" s="35"/>
      <c r="G77" s="14"/>
      <c r="H77" s="35"/>
      <c r="I77" s="36"/>
    </row>
    <row r="78" spans="1:9" ht="24" customHeight="1">
      <c r="A78" s="19" t="str">
        <f>IF($B$4="","",$B$4)</f>
        <v/>
      </c>
      <c r="B78" s="19" t="str">
        <f>IF($E$4="","",$E$4)</f>
        <v/>
      </c>
      <c r="C78" s="20"/>
      <c r="D78" s="21"/>
      <c r="E78" s="20"/>
      <c r="F78" s="35"/>
      <c r="G78" s="14"/>
      <c r="H78" s="35"/>
      <c r="I78" s="36"/>
    </row>
    <row r="79" spans="1:9" ht="24" customHeight="1">
      <c r="A79" s="19" t="str">
        <f>IF($B$4="","",$B$4)</f>
        <v/>
      </c>
      <c r="B79" s="19" t="str">
        <f>IF($E$4="","",$E$4)</f>
        <v/>
      </c>
      <c r="C79" s="20"/>
      <c r="D79" s="21"/>
      <c r="E79" s="20"/>
      <c r="F79" s="35"/>
      <c r="G79" s="14"/>
      <c r="H79" s="35"/>
      <c r="I79" s="36"/>
    </row>
    <row r="80" spans="1:9" ht="24" customHeight="1">
      <c r="A80" s="19" t="str">
        <f>IF($B$4="","",$B$4)</f>
        <v/>
      </c>
      <c r="B80" s="19" t="str">
        <f>IF($E$4="","",$E$4)</f>
        <v/>
      </c>
      <c r="C80" s="20"/>
      <c r="D80" s="21"/>
      <c r="E80" s="20"/>
      <c r="F80" s="35"/>
      <c r="G80" s="14"/>
      <c r="H80" s="35"/>
      <c r="I80" s="36"/>
    </row>
    <row r="81" spans="1:9" ht="24" customHeight="1">
      <c r="A81" s="19" t="str">
        <f>IF($B$4="","",$B$4)</f>
        <v/>
      </c>
      <c r="B81" s="19" t="str">
        <f>IF($E$4="","",$E$4)</f>
        <v/>
      </c>
      <c r="C81" s="20"/>
      <c r="D81" s="21"/>
      <c r="E81" s="20"/>
      <c r="F81" s="35"/>
      <c r="G81" s="14"/>
      <c r="H81" s="35"/>
      <c r="I81" s="36"/>
    </row>
    <row r="82" spans="1:9" ht="24" customHeight="1">
      <c r="A82" s="19" t="str">
        <f>IF($B$4="","",$B$4)</f>
        <v/>
      </c>
      <c r="B82" s="19" t="str">
        <f>IF($E$4="","",$E$4)</f>
        <v/>
      </c>
      <c r="C82" s="20"/>
      <c r="D82" s="21"/>
      <c r="E82" s="20"/>
      <c r="F82" s="35"/>
      <c r="G82" s="14"/>
      <c r="H82" s="35"/>
      <c r="I82" s="36"/>
    </row>
    <row r="83" spans="1:9" ht="24" customHeight="1">
      <c r="A83" s="19" t="str">
        <f>IF($B$4="","",$B$4)</f>
        <v/>
      </c>
      <c r="B83" s="19" t="str">
        <f>IF($E$4="","",$E$4)</f>
        <v/>
      </c>
      <c r="C83" s="20"/>
      <c r="D83" s="21"/>
      <c r="E83" s="20"/>
      <c r="F83" s="35"/>
      <c r="G83" s="14"/>
      <c r="H83" s="35"/>
      <c r="I83" s="36"/>
    </row>
    <row r="84" spans="1:9" ht="24" customHeight="1">
      <c r="A84" s="19" t="str">
        <f>IF($B$4="","",$B$4)</f>
        <v/>
      </c>
      <c r="B84" s="19" t="str">
        <f>IF($E$4="","",$E$4)</f>
        <v/>
      </c>
      <c r="C84" s="20"/>
      <c r="D84" s="21"/>
      <c r="E84" s="20"/>
      <c r="F84" s="35"/>
      <c r="G84" s="14"/>
      <c r="H84" s="35"/>
      <c r="I84" s="36"/>
    </row>
    <row r="85" spans="1:9" ht="24" customHeight="1">
      <c r="A85" s="19" t="str">
        <f>IF($B$4="","",$B$4)</f>
        <v/>
      </c>
      <c r="B85" s="19" t="str">
        <f>IF($E$4="","",$E$4)</f>
        <v/>
      </c>
      <c r="C85" s="20"/>
      <c r="D85" s="21"/>
      <c r="E85" s="20"/>
      <c r="F85" s="35"/>
      <c r="G85" s="14"/>
      <c r="H85" s="35"/>
      <c r="I85" s="36"/>
    </row>
    <row r="86" spans="1:9" ht="24" customHeight="1">
      <c r="A86" s="19" t="str">
        <f>IF($B$4="","",$B$4)</f>
        <v/>
      </c>
      <c r="B86" s="19" t="str">
        <f>IF($E$4="","",$E$4)</f>
        <v/>
      </c>
      <c r="C86" s="20"/>
      <c r="D86" s="21"/>
      <c r="E86" s="20"/>
      <c r="F86" s="35"/>
      <c r="G86" s="14"/>
      <c r="H86" s="35"/>
      <c r="I86" s="36"/>
    </row>
    <row r="87" spans="1:9" ht="24" customHeight="1">
      <c r="A87" s="19" t="str">
        <f>IF($B$4="","",$B$4)</f>
        <v/>
      </c>
      <c r="B87" s="19" t="str">
        <f>IF($E$4="","",$E$4)</f>
        <v/>
      </c>
      <c r="C87" s="20"/>
      <c r="D87" s="21"/>
      <c r="E87" s="20"/>
      <c r="F87" s="35"/>
      <c r="G87" s="14"/>
      <c r="H87" s="35"/>
      <c r="I87" s="36"/>
    </row>
    <row r="88" spans="1:9" ht="24" customHeight="1">
      <c r="A88" s="19" t="str">
        <f>IF($B$4="","",$B$4)</f>
        <v/>
      </c>
      <c r="B88" s="19" t="str">
        <f>IF($E$4="","",$E$4)</f>
        <v/>
      </c>
      <c r="C88" s="20"/>
      <c r="D88" s="21"/>
      <c r="E88" s="20"/>
      <c r="F88" s="35"/>
      <c r="G88" s="14"/>
      <c r="H88" s="35"/>
      <c r="I88" s="36"/>
    </row>
    <row r="89" spans="1:9" ht="24" customHeight="1">
      <c r="A89" s="19" t="str">
        <f>IF($B$4="","",$B$4)</f>
        <v/>
      </c>
      <c r="B89" s="19" t="str">
        <f>IF($E$4="","",$E$4)</f>
        <v/>
      </c>
      <c r="C89" s="20"/>
      <c r="D89" s="21"/>
      <c r="E89" s="20"/>
      <c r="F89" s="35"/>
      <c r="G89" s="14"/>
      <c r="H89" s="35"/>
      <c r="I89" s="36"/>
    </row>
    <row r="90" spans="1:9" ht="24" customHeight="1">
      <c r="A90" s="19" t="str">
        <f>IF($B$4="","",$B$4)</f>
        <v/>
      </c>
      <c r="B90" s="19" t="str">
        <f>IF($E$4="","",$E$4)</f>
        <v/>
      </c>
      <c r="C90" s="20"/>
      <c r="D90" s="21"/>
      <c r="E90" s="20"/>
      <c r="F90" s="35"/>
      <c r="G90" s="14"/>
      <c r="H90" s="35"/>
      <c r="I90" s="36"/>
    </row>
    <row r="91" spans="1:9" ht="24" customHeight="1">
      <c r="A91" s="19" t="str">
        <f>IF($B$4="","",$B$4)</f>
        <v/>
      </c>
      <c r="B91" s="19" t="str">
        <f>IF($E$4="","",$E$4)</f>
        <v/>
      </c>
      <c r="C91" s="20"/>
      <c r="D91" s="21"/>
      <c r="E91" s="20"/>
      <c r="F91" s="35"/>
      <c r="G91" s="14"/>
      <c r="H91" s="35"/>
      <c r="I91" s="36"/>
    </row>
    <row r="92" spans="1:9" ht="24" customHeight="1">
      <c r="A92" s="19" t="str">
        <f>IF($B$4="","",$B$4)</f>
        <v/>
      </c>
      <c r="B92" s="19" t="str">
        <f>IF($E$4="","",$E$4)</f>
        <v/>
      </c>
      <c r="C92" s="20"/>
      <c r="D92" s="21"/>
      <c r="E92" s="20"/>
      <c r="F92" s="35"/>
      <c r="G92" s="14"/>
      <c r="H92" s="35"/>
      <c r="I92" s="36"/>
    </row>
    <row r="93" spans="1:9" ht="24" customHeight="1">
      <c r="A93" s="19" t="str">
        <f>IF($B$4="","",$B$4)</f>
        <v/>
      </c>
      <c r="B93" s="19" t="str">
        <f>IF($E$4="","",$E$4)</f>
        <v/>
      </c>
      <c r="C93" s="20"/>
      <c r="D93" s="21"/>
      <c r="E93" s="20"/>
      <c r="F93" s="35"/>
      <c r="G93" s="14"/>
      <c r="H93" s="35"/>
      <c r="I93" s="36"/>
    </row>
    <row r="94" spans="1:9" ht="24" customHeight="1">
      <c r="A94" s="19" t="str">
        <f>IF($B$4="","",$B$4)</f>
        <v/>
      </c>
      <c r="B94" s="19" t="str">
        <f>IF($E$4="","",$E$4)</f>
        <v/>
      </c>
      <c r="C94" s="20"/>
      <c r="D94" s="21"/>
      <c r="E94" s="20"/>
      <c r="F94" s="35"/>
      <c r="G94" s="14"/>
      <c r="H94" s="35"/>
      <c r="I94" s="36"/>
    </row>
    <row r="95" spans="1:9" ht="24" customHeight="1">
      <c r="A95" s="19" t="str">
        <f>IF($B$4="","",$B$4)</f>
        <v/>
      </c>
      <c r="B95" s="19" t="str">
        <f>IF($E$4="","",$E$4)</f>
        <v/>
      </c>
      <c r="C95" s="20"/>
      <c r="D95" s="21"/>
      <c r="E95" s="20"/>
      <c r="F95" s="35"/>
      <c r="G95" s="14"/>
      <c r="H95" s="35"/>
      <c r="I95" s="36"/>
    </row>
    <row r="96" spans="1:9" ht="24" customHeight="1">
      <c r="A96" s="19" t="str">
        <f>IF($B$4="","",$B$4)</f>
        <v/>
      </c>
      <c r="B96" s="19" t="str">
        <f>IF($E$4="","",$E$4)</f>
        <v/>
      </c>
      <c r="C96" s="20"/>
      <c r="D96" s="21"/>
      <c r="E96" s="20"/>
      <c r="F96" s="35"/>
      <c r="G96" s="14"/>
      <c r="H96" s="35"/>
      <c r="I96" s="36"/>
    </row>
    <row r="97" spans="1:9" ht="24" customHeight="1">
      <c r="A97" s="19" t="str">
        <f>IF($B$4="","",$B$4)</f>
        <v/>
      </c>
      <c r="B97" s="19" t="str">
        <f>IF($E$4="","",$E$4)</f>
        <v/>
      </c>
      <c r="C97" s="20"/>
      <c r="D97" s="21"/>
      <c r="E97" s="20"/>
      <c r="F97" s="35"/>
      <c r="G97" s="14"/>
      <c r="H97" s="35"/>
      <c r="I97" s="36"/>
    </row>
    <row r="98" spans="1:9" ht="24" customHeight="1">
      <c r="A98" s="19" t="str">
        <f>IF($B$4="","",$B$4)</f>
        <v/>
      </c>
      <c r="B98" s="19" t="str">
        <f>IF($E$4="","",$E$4)</f>
        <v/>
      </c>
      <c r="C98" s="20"/>
      <c r="D98" s="21"/>
      <c r="E98" s="20"/>
      <c r="F98" s="35"/>
      <c r="G98" s="14"/>
      <c r="H98" s="35"/>
      <c r="I98" s="36"/>
    </row>
    <row r="99" spans="1:9" ht="24" customHeight="1">
      <c r="A99" s="19" t="str">
        <f>IF($B$4="","",$B$4)</f>
        <v/>
      </c>
      <c r="B99" s="19" t="str">
        <f>IF($E$4="","",$E$4)</f>
        <v/>
      </c>
      <c r="C99" s="20"/>
      <c r="D99" s="21"/>
      <c r="E99" s="20"/>
      <c r="F99" s="35"/>
      <c r="G99" s="14"/>
      <c r="H99" s="35"/>
      <c r="I99" s="36"/>
    </row>
    <row r="100" spans="1:9" ht="24" customHeight="1">
      <c r="A100" s="19" t="str">
        <f>IF($B$4="","",$B$4)</f>
        <v/>
      </c>
      <c r="B100" s="19" t="str">
        <f>IF($E$4="","",$E$4)</f>
        <v/>
      </c>
      <c r="C100" s="20"/>
      <c r="D100" s="21"/>
      <c r="E100" s="20"/>
      <c r="F100" s="35"/>
      <c r="G100" s="14"/>
      <c r="H100" s="35"/>
      <c r="I100" s="36"/>
    </row>
    <row r="101" spans="1:9" ht="24" customHeight="1">
      <c r="A101" s="19" t="str">
        <f>IF($B$4="","",$B$4)</f>
        <v/>
      </c>
      <c r="B101" s="19" t="str">
        <f>IF($E$4="","",$E$4)</f>
        <v/>
      </c>
      <c r="C101" s="20"/>
      <c r="D101" s="21"/>
      <c r="E101" s="20"/>
      <c r="F101" s="35"/>
      <c r="G101" s="14"/>
      <c r="H101" s="35"/>
      <c r="I101" s="36"/>
    </row>
    <row r="102" spans="1:9" ht="24" customHeight="1">
      <c r="A102" s="19" t="str">
        <f>IF($B$4="","",$B$4)</f>
        <v/>
      </c>
      <c r="B102" s="19" t="str">
        <f>IF($E$4="","",$E$4)</f>
        <v/>
      </c>
      <c r="C102" s="20"/>
      <c r="D102" s="21"/>
      <c r="E102" s="20"/>
      <c r="F102" s="35"/>
      <c r="G102" s="14"/>
      <c r="H102" s="35"/>
      <c r="I102" s="36"/>
    </row>
    <row r="103" spans="1:9" ht="24" customHeight="1">
      <c r="A103" s="19" t="str">
        <f>IF($B$4="","",$B$4)</f>
        <v/>
      </c>
      <c r="B103" s="19" t="str">
        <f>IF($E$4="","",$E$4)</f>
        <v/>
      </c>
      <c r="C103" s="20"/>
      <c r="D103" s="21"/>
      <c r="E103" s="20"/>
      <c r="F103" s="35"/>
      <c r="G103" s="14"/>
      <c r="H103" s="35"/>
      <c r="I103" s="36"/>
    </row>
    <row r="104" spans="1:9" ht="24" customHeight="1">
      <c r="A104" s="19" t="str">
        <f>IF($B$4="","",$B$4)</f>
        <v/>
      </c>
      <c r="B104" s="19" t="str">
        <f>IF($E$4="","",$E$4)</f>
        <v/>
      </c>
      <c r="C104" s="20"/>
      <c r="D104" s="21"/>
      <c r="E104" s="20"/>
      <c r="F104" s="35"/>
      <c r="G104" s="14"/>
      <c r="H104" s="35"/>
      <c r="I104" s="36"/>
    </row>
    <row r="105" spans="1:9" ht="24" customHeight="1">
      <c r="A105" s="19" t="str">
        <f>IF($B$4="","",$B$4)</f>
        <v/>
      </c>
      <c r="B105" s="19" t="str">
        <f>IF($E$4="","",$E$4)</f>
        <v/>
      </c>
      <c r="C105" s="20"/>
      <c r="D105" s="21"/>
      <c r="E105" s="20"/>
      <c r="F105" s="35"/>
      <c r="G105" s="14"/>
      <c r="H105" s="35"/>
      <c r="I105" s="36"/>
    </row>
    <row r="106" spans="1:9" ht="24" customHeight="1">
      <c r="A106" s="19" t="str">
        <f>IF($B$4="","",$B$4)</f>
        <v/>
      </c>
      <c r="B106" s="19" t="str">
        <f>IF($E$4="","",$E$4)</f>
        <v/>
      </c>
      <c r="C106" s="20"/>
      <c r="D106" s="21"/>
      <c r="E106" s="20"/>
      <c r="F106" s="35"/>
      <c r="G106" s="14"/>
      <c r="H106" s="35"/>
      <c r="I106" s="36"/>
    </row>
    <row r="107" spans="1:9" ht="24" customHeight="1">
      <c r="A107" s="19" t="str">
        <f>IF($B$4="","",$B$4)</f>
        <v/>
      </c>
      <c r="B107" s="19" t="str">
        <f>IF($E$4="","",$E$4)</f>
        <v/>
      </c>
      <c r="C107" s="20"/>
      <c r="D107" s="21"/>
      <c r="E107" s="20"/>
      <c r="F107" s="35"/>
      <c r="G107" s="14"/>
      <c r="H107" s="35"/>
      <c r="I107" s="36"/>
    </row>
    <row r="108" spans="1:9" ht="24" customHeight="1">
      <c r="A108" s="22" t="str">
        <f>IF($B$4="","",$B$4)</f>
        <v/>
      </c>
      <c r="B108" s="22" t="str">
        <f>IF($E$4="","",$E$4)</f>
        <v/>
      </c>
      <c r="C108" s="23"/>
      <c r="D108" s="24"/>
      <c r="E108" s="23"/>
      <c r="F108" s="37"/>
      <c r="G108" s="15"/>
      <c r="H108" s="37"/>
      <c r="I108" s="38"/>
    </row>
  </sheetData>
  <printOptions>
    <extLst>
      <ext uri="smNativeData">
        <pm:pageFlags xmlns:pm="smNativeData" id="1791203067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91203067" l="56" r="56" t="56" b="56" borderId="0" fillId="0" vertical="0"/>
        <pm:footer xmlns:pm="smNativeData" id="1791203067" l="56" r="56" t="56" b="56" borderId="0" fillId="0" vertical="2"/>
      </ext>
    </extLst>
  </headerFooter>
  <extLst>
    <ext uri="smNativeData">
      <pm:sheetPrefs xmlns:pm="smNativeData" day="179120306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>0</cp:revision>
  <dcterms:created xsi:type="dcterms:W3CDTF">2026-10-05T15:24:14Z</dcterms:created>
  <dcterms:modified xsi:type="dcterms:W3CDTF">2026-10-05T12:24:27Z</dcterms:modified>
</cp:coreProperties>
</file>