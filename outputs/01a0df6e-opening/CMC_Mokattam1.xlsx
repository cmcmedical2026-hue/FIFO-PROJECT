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7b163c8ad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ea0b15fcb874211"/>
    <x:sheet xmlns:r="http://schemas.openxmlformats.org/officeDocument/2006/relationships" name="Data &amp; Targets" sheetId="2" r:id="Ra163494918ba4d4f"/>
    <x:sheet xmlns:r="http://schemas.openxmlformats.org/officeDocument/2006/relationships" name="_Chart Helpers" sheetId="3" r:id="R735675435a914fd0"/>
    <x:sheet xmlns:r="http://schemas.openxmlformats.org/officeDocument/2006/relationships" name="مطابقة الافتتاحي" sheetId="4" r:id="R646f46c703e0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General"/>
    <x:numFmt numFmtId="201" formatCode="0"/>
    <x:numFmt numFmtId="202" formatCode="@"/>
    <x:numFmt numFmtId="203" formatCode="#,##0.00;(#,##0.00);0.00"/>
    <x:numFmt numFmtId="204" formatCode="#,##0"/>
    <x:numFmt numFmtId="205" formatCode="#,##0;(#,##0);0"/>
    <x:numFmt numFmtId="206" formatCode="#,##0.00"/>
  </x:numFmts>
  <x:fonts count="42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i/>
      <x:sz val="11"/>
      <x:color rgb="FFD9E2EA"/>
      <x:name val="Arial"/>
    </x:font>
    <x:font>
      <x:b/>
      <x:sz val="11"/>
      <x:color rgb="FFD9E2EA"/>
      <x:name val="Arial"/>
    </x:font>
    <x:font>
      <x:sz val="11"/>
      <x:color rgb="FF17212B"/>
      <x:name val="Arial"/>
    </x:font>
    <x:font>
      <x:sz val="11"/>
      <x:color rgb="FF0000FF"/>
      <x:name val="Arial"/>
    </x:font>
    <x:font>
      <x:b/>
      <x:sz val="11"/>
      <x:color rgb="FF000000"/>
      <x:name val="Arial"/>
    </x:font>
    <x:font>
      <x:b/>
      <x:sz val="11"/>
      <x:color rgb="FFF3F7FB"/>
      <x:name val="Arial"/>
    </x:font>
    <x:font>
      <x:i/>
      <x:sz val="11"/>
      <x:color rgb="FFF3F7FB"/>
      <x:name val="Arial"/>
    </x:font>
    <x:font>
      <x:sz val="11"/>
      <x:color rgb="FFF3F7FB"/>
      <x:name val="Arial"/>
    </x:font>
    <x:font>
      <x:sz val="11"/>
      <x:color rgb="FF172B40"/>
      <x:name val="Arial"/>
    </x:font>
    <x:font>
      <x:b/>
      <x:sz val="11"/>
      <x:color rgb="FF172B40"/>
      <x:name val="Arial"/>
    </x:font>
    <x:font>
      <x:sz val="11"/>
      <x:color rgb="FF1D4ED8"/>
      <x:name val="Arial"/>
    </x:font>
    <x:font>
      <x:b/>
      <x:sz val="11"/>
      <x:color rgb="FF1D4ED8"/>
      <x:name val="Arial"/>
    </x:font>
    <x:font>
      <x:sz val="11"/>
      <x:color rgb="FF111827"/>
      <x:name val="Arial"/>
    </x:font>
    <x:font>
      <x:b/>
      <x:sz val="11"/>
      <x:color rgb="FF111827"/>
      <x:name val="Arial"/>
    </x:font>
    <x:font>
      <x:b/>
      <x:sz val="16"/>
      <x:color rgb="FFF3F7FB"/>
      <x:name val="Arial"/>
    </x:font>
    <x:font>
      <x:sz val="10"/>
      <x:color rgb="FF334155"/>
      <x:name val="Arial"/>
    </x:font>
    <x:font>
      <x:sz val="11"/>
      <x:color rgb="FF00804A"/>
      <x:name val="Arial"/>
    </x:font>
    <x:font>
      <x:b/>
      <x:sz val="10"/>
      <x:color rgb="FFA6B8C9"/>
      <x:name val="Arial"/>
    </x:font>
    <x:font>
      <x:b/>
      <x:sz val="9"/>
      <x:color rgb="FFF3F7FB"/>
      <x:name val="Arial"/>
    </x:font>
    <x:font>
      <x:sz val="9"/>
      <x:color rgb="FFF3F7FB"/>
      <x:name val="Arial"/>
    </x:font>
    <x:font>
      <x:sz val="11"/>
      <x:color rgb="FFA6B8C9"/>
      <x:name val="Arial"/>
    </x:font>
    <x:font>
      <x:i/>
      <x:sz val="11"/>
      <x:color rgb="FFA6B8C9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0D1B29"/>
      </x:patternFill>
    </x:fill>
    <x:fill>
      <x:patternFill patternType="solid">
        <x:fgColor rgb="FFFFFFFF"/>
      </x:patternFill>
    </x:fill>
    <x:fill>
      <x:patternFill patternType="solid">
        <x:fgColor rgb="FF1C3A53"/>
      </x:patternFill>
    </x:fill>
    <x:fill>
      <x:patternFill patternType="solid">
        <x:fgColor rgb="FF15293D"/>
      </x:patternFill>
    </x:fill>
    <x:fill>
      <x:patternFill patternType="solid">
        <x:fgColor rgb="FFFFF2CC"/>
      </x:patternFill>
    </x:fill>
    <x:fill>
      <x:patternFill patternType="solid">
        <x:fgColor rgb="FFF4F6F8"/>
      </x:patternFill>
    </x:fill>
    <x:fill>
      <x:patternFill patternType="solid">
        <x:fgColor rgb="FFEFF4F8"/>
      </x:patternFill>
    </x:fill>
  </x:fills>
  <x:borders count="29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  <x:right style="thin">
        <x:color rgb="FFD9E0E6"/>
      </x:right>
      <x:top style="thin">
        <x:color rgb="FFD9E0E6"/>
      </x:top>
      <x:bottom style="thin">
        <x:color rgb="FFD9E0E6"/>
      </x:bottom>
    </x:border>
    <x:border diagonalUp="0" diagonalDown="0"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 diagonalUp="0" diagonalDown="0">
      <x:left style="thin">
        <x:color rgb="FFD9E0E6"/>
      </x:left>
      <x:right style="none"/>
      <x:top style="thin">
        <x:color rgb="FFD9E0E6"/>
      </x:top>
      <x:bottom style="thin">
        <x:color rgb="FFD9E0E6"/>
      </x:bottom>
    </x:border>
    <x:border diagonalUp="0" diagonalDown="0">
      <x:left style="none"/>
      <x:right style="thin">
        <x:color rgb="FFD6C26E"/>
      </x:right>
      <x:top style="thin">
        <x:color rgb="FFD6C26E"/>
      </x:top>
      <x:bottom style="thin">
        <x:color rgb="FFD6C26E"/>
      </x:bottom>
    </x:border>
    <x:border diagonalUp="0" diagonalDown="0"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 diagonalUp="0" diagonalDown="0">
      <x:left style="thin">
        <x:color rgb="FFD6C26E"/>
      </x:left>
      <x:right style="none"/>
      <x:top style="thin">
        <x:color rgb="FFD6C26E"/>
      </x:top>
      <x:bottom style="thin">
        <x:color rgb="FFD6C26E"/>
      </x:bottom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</x:borders>
  <x:cellStyleXfs count="1">
    <x:xf numFmtId="0" fontId="0" fillId="0" borderId="0"/>
  </x:cellStyleXfs>
  <x:cellXfs count="380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7" fillId="9" borderId="3" xfId="0" applyNumberFormat="1" applyFont="1" applyFill="1" applyBorder="1" applyAlignment="1">
      <x:alignment horizontal="left" vertical="center"/>
    </x:xf>
    <x:xf numFmtId="0" fontId="7" fillId="9" borderId="4" xfId="0" applyNumberFormat="1" applyFont="1" applyFill="1" applyBorder="1" applyAlignment="1">
      <x:alignment horizontal="left" vertical="center"/>
    </x:xf>
    <x:xf numFmtId="0" fontId="7" fillId="9" borderId="5" xfId="0" applyNumberFormat="1" applyFont="1" applyFill="1" applyBorder="1" applyAlignment="1">
      <x:alignment horizontal="left" vertical="center"/>
    </x:xf>
    <x:xf numFmtId="0" fontId="1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10" fillId="10" borderId="6" xfId="0" applyNumberFormat="1" applyFont="1" applyFill="1" applyBorder="1" applyAlignment="1">
      <x:alignment horizontal="left" vertical="center"/>
    </x:xf>
    <x:xf numFmtId="0" fontId="10" fillId="10" borderId="7" xfId="0" applyNumberFormat="1" applyFont="1" applyFill="1" applyBorder="1" applyAlignment="1">
      <x:alignment horizontal="left" vertical="center"/>
    </x:xf>
    <x:xf numFmtId="0" fontId="10" fillId="10" borderId="8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Border="1" applyAlignment="1">
      <x:alignment horizontal="left" vertical="center"/>
    </x:xf>
    <x:xf numFmtId="0" fontId="13" fillId="10" borderId="12" xfId="0" applyNumberFormat="1" applyFont="1" applyFill="1" applyBorder="1" applyAlignment="1">
      <x:alignment horizontal="left" vertical="center"/>
    </x:xf>
    <x:xf numFmtId="0" fontId="13" fillId="10" borderId="13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 applyAlignment="1">
      <x:alignment vertical="center"/>
    </x:xf>
    <x:xf numFmtId="167" fontId="11" fillId="10" borderId="0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Border="1" applyAlignment="1">
      <x:alignment horizontal="left" vertical="center"/>
    </x:xf>
    <x:xf numFmtId="0" fontId="3" fillId="9" borderId="0" xfId="0" applyNumberFormat="1" applyFont="1" applyFill="1" applyBorder="1" applyAlignment="1">
      <x:alignment horizontal="left" vertical="center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 applyAlignment="1">
      <x:alignment horizontal="left" vertical="center"/>
    </x:xf>
    <x:xf numFmtId="0" fontId="6" fillId="10" borderId="1" xfId="0" applyNumberFormat="1" applyFont="1" applyFill="1" applyBorder="1" applyAlignment="1">
      <x:alignment horizontal="center" vertical="center"/>
    </x:xf>
    <x:xf numFmtId="0" fontId="14" fillId="10" borderId="6" xfId="0" applyNumberFormat="1" applyFont="1" applyFill="1" applyBorder="1" applyAlignment="1">
      <x:alignment horizontal="left" vertical="center" wrapText="1"/>
    </x:xf>
    <x:xf numFmtId="0" fontId="14" fillId="10" borderId="7" xfId="0" applyNumberFormat="1" applyFont="1" applyFill="1" applyBorder="1" applyAlignment="1">
      <x:alignment horizontal="left" vertical="center" wrapText="1"/>
    </x:xf>
    <x:xf numFmtId="0" fontId="14" fillId="10" borderId="8" xfId="0" applyNumberFormat="1" applyFont="1" applyFill="1" applyBorder="1" applyAlignment="1">
      <x:alignment horizontal="left" vertical="center" wrapText="1"/>
    </x:xf>
    <x:xf numFmtId="0" fontId="14" fillId="10" borderId="9" xfId="0" applyNumberFormat="1" applyFont="1" applyFill="1" applyBorder="1" applyAlignment="1">
      <x:alignment horizontal="left" vertical="center" wrapText="1"/>
    </x:xf>
    <x:xf numFmtId="0" fontId="14" fillId="10" borderId="0" xfId="0" applyNumberFormat="1" applyFont="1" applyFill="1" applyBorder="1" applyAlignment="1">
      <x:alignment horizontal="left" vertical="center" wrapText="1"/>
    </x:xf>
    <x:xf numFmtId="0" fontId="14" fillId="10" borderId="10" xfId="0" applyNumberFormat="1" applyFont="1" applyFill="1" applyBorder="1" applyAlignment="1">
      <x:alignment horizontal="left" vertical="center" wrapText="1"/>
    </x:xf>
    <x:xf numFmtId="0" fontId="14" fillId="10" borderId="11" xfId="0" applyNumberFormat="1" applyFont="1" applyFill="1" applyBorder="1" applyAlignment="1">
      <x:alignment horizontal="left" vertical="center" wrapText="1"/>
    </x:xf>
    <x:xf numFmtId="0" fontId="14" fillId="10" borderId="12" xfId="0" applyNumberFormat="1" applyFont="1" applyFill="1" applyBorder="1" applyAlignment="1">
      <x:alignment horizontal="left" vertical="center" wrapText="1"/>
    </x:xf>
    <x:xf numFmtId="0" fontId="14" fillId="10" borderId="13" xfId="0" applyNumberFormat="1" applyFont="1" applyFill="1" applyBorder="1" applyAlignment="1">
      <x:alignment horizontal="left" vertical="center" wrapText="1"/>
    </x:xf>
    <x:xf numFmtId="0" fontId="15" fillId="9" borderId="6" xfId="0" applyNumberFormat="1" applyFont="1" applyFill="1" applyBorder="1" applyAlignment="1">
      <x:alignment horizontal="left" vertical="center" wrapText="1"/>
    </x:xf>
    <x:xf numFmtId="0" fontId="15" fillId="9" borderId="7" xfId="0" applyNumberFormat="1" applyFont="1" applyFill="1" applyBorder="1" applyAlignment="1">
      <x:alignment horizontal="left" vertical="center" wrapText="1"/>
    </x:xf>
    <x:xf numFmtId="0" fontId="15" fillId="9" borderId="8" xfId="0" applyNumberFormat="1" applyFont="1" applyFill="1" applyBorder="1" applyAlignment="1">
      <x:alignment horizontal="left" vertical="center" wrapText="1"/>
    </x:xf>
    <x:xf numFmtId="0" fontId="15" fillId="9" borderId="9" xfId="0" applyNumberFormat="1" applyFont="1" applyFill="1" applyBorder="1" applyAlignment="1">
      <x:alignment horizontal="left" vertical="center" wrapText="1"/>
    </x:xf>
    <x:xf numFmtId="0" fontId="15" fillId="9" borderId="0" xfId="0" applyNumberFormat="1" applyFont="1" applyFill="1" applyBorder="1" applyAlignment="1">
      <x:alignment horizontal="left" vertical="center" wrapText="1"/>
    </x:xf>
    <x:xf numFmtId="0" fontId="15" fillId="9" borderId="10" xfId="0" applyNumberFormat="1" applyFont="1" applyFill="1" applyBorder="1" applyAlignment="1">
      <x:alignment horizontal="left" vertical="center" wrapText="1"/>
    </x:xf>
    <x:xf numFmtId="0" fontId="15" fillId="9" borderId="11" xfId="0" applyNumberFormat="1" applyFont="1" applyFill="1" applyBorder="1" applyAlignment="1">
      <x:alignment horizontal="left" vertical="center" wrapText="1"/>
    </x:xf>
    <x:xf numFmtId="0" fontId="15" fillId="9" borderId="12" xfId="0" applyNumberFormat="1" applyFont="1" applyFill="1" applyBorder="1" applyAlignment="1">
      <x:alignment horizontal="left" vertical="center" wrapText="1"/>
    </x:xf>
    <x:xf numFmtId="0" fontId="15" fillId="9" borderId="13" xfId="0" applyNumberFormat="1" applyFont="1" applyFill="1" applyBorder="1" applyAlignment="1">
      <x:alignment horizontal="left" vertical="center" wrapText="1"/>
    </x:xf>
    <x:xf numFmtId="0" fontId="8" fillId="8" borderId="0" xfId="0" applyNumberFormat="1" applyFont="1" applyFill="1" applyBorder="1" applyAlignment="1">
      <x:alignment vertical="center"/>
    </x:xf>
    <x:xf numFmtId="0" fontId="20" fillId="8" borderId="0" xfId="0" applyNumberFormat="1" applyFont="1" applyFill="1" applyBorder="1" applyAlignment="1">
      <x:alignment vertical="center"/>
    </x:xf>
    <x:xf numFmtId="0" fontId="21" fillId="8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left" vertical="center"/>
    </x:xf>
    <x:xf numFmtId="0" fontId="22" fillId="4" borderId="1" xfId="0" applyNumberFormat="1" applyFont="1" applyFill="1" applyBorder="1" applyAlignment="1">
      <x:alignment horizontal="left" vertical="center" wrapText="1"/>
    </x:xf>
    <x:xf numFmtId="0" fontId="8" fillId="3" borderId="1" xfId="0" applyNumberFormat="1" applyFont="1" applyFill="1" applyBorder="1" applyAlignment="1">
      <x:alignment horizontal="left" vertical="center" wrapText="1"/>
    </x:xf>
    <x:xf numFmtId="164" fontId="23" fillId="5" borderId="2" xfId="0" applyNumberFormat="1" applyFont="1" applyFill="1" applyBorder="1" applyAlignment="1">
      <x:alignment horizontal="left" vertical="center"/>
    </x:xf>
    <x:xf numFmtId="164" fontId="24" fillId="6" borderId="1" xfId="0" applyNumberFormat="1" applyFont="1" applyFill="1" applyBorder="1" applyAlignment="1">
      <x:alignment horizontal="left" vertical="center"/>
    </x:xf>
    <x:xf numFmtId="0" fontId="22" fillId="6" borderId="1" xfId="0" applyNumberFormat="1" applyFont="1" applyFill="1" applyBorder="1" applyAlignment="1">
      <x:alignment horizontal="left" vertical="center" wrapText="1"/>
    </x:xf>
    <x:xf numFmtId="0" fontId="8" fillId="7" borderId="0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 applyAlignment="1">
      <x:alignment horizontal="center" vertical="center" wrapText="1"/>
    </x:xf>
    <x:xf numFmtId="164" fontId="23" fillId="5" borderId="2" xfId="0" applyNumberFormat="1" applyFont="1" applyFill="1" applyBorder="1" applyAlignment="1">
      <x:alignment horizontal="right" vertical="center"/>
    </x:xf>
    <x:xf numFmtId="165" fontId="23" fillId="5" borderId="2" xfId="0" applyNumberFormat="1" applyFont="1" applyFill="1" applyBorder="1" applyAlignment="1">
      <x:alignment horizontal="right" vertical="center"/>
    </x:xf>
    <x:xf numFmtId="166" fontId="23" fillId="5" borderId="2" xfId="0" applyNumberFormat="1" applyFont="1" applyFill="1" applyBorder="1" applyAlignment="1">
      <x:alignment horizontal="right" vertical="center"/>
    </x:xf>
    <x:xf numFmtId="167" fontId="23" fillId="5" borderId="2" xfId="0" applyNumberFormat="1" applyFont="1" applyFill="1" applyBorder="1" applyAlignment="1">
      <x:alignment horizontal="right" vertical="center"/>
    </x:xf>
    <x:xf numFmtId="168" fontId="23" fillId="5" borderId="2" xfId="0" applyNumberFormat="1" applyFont="1" applyFill="1" applyBorder="1" applyAlignment="1">
      <x:alignment horizontal="right" vertical="center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22" fillId="6" borderId="1" xfId="0" applyNumberFormat="1" applyFont="1" applyFill="1" applyBorder="1" applyAlignment="1">
      <x:alignment horizontal="left" vertical="center"/>
    </x:xf>
    <x:xf numFmtId="169" fontId="23" fillId="5" borderId="2" xfId="0" applyNumberFormat="1" applyFont="1" applyFill="1" applyBorder="1" applyAlignment="1">
      <x:alignment horizontal="right" vertical="center"/>
    </x:xf>
    <x:xf numFmtId="0" fontId="22" fillId="4" borderId="1" xfId="0" applyNumberFormat="1" applyFont="1" applyFill="1" applyBorder="1" applyAlignment="1">
      <x:alignment horizontal="left" vertical="center"/>
    </x:xf>
    <x:xf numFmtId="0" fontId="24" fillId="4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8" fillId="13" borderId="0" xfId="0" applyNumberFormat="1" applyFont="1" applyFill="1" applyBorder="1" applyAlignment="1">
      <x:alignment vertical="center"/>
    </x:xf>
    <x:xf numFmtId="0" fontId="20" fillId="13" borderId="0" xfId="0" applyNumberFormat="1" applyFont="1" applyFill="1" applyBorder="1" applyAlignment="1">
      <x:alignment vertical="center"/>
    </x:xf>
    <x:xf numFmtId="0" fontId="21" fillId="13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8" fillId="13" borderId="0" xfId="0" applyNumberFormat="1" applyFont="1" applyFill="1" applyBorder="1" applyAlignment="1">
      <x:alignment horizontal="left" vertical="center"/>
    </x:xf>
    <x:xf numFmtId="0" fontId="22" fillId="13" borderId="1" xfId="0" applyNumberFormat="1" applyFont="1" applyFill="1" applyBorder="1" applyAlignment="1">
      <x:alignment horizontal="left" vertical="center" wrapText="1"/>
    </x:xf>
    <x:xf numFmtId="0" fontId="8" fillId="13" borderId="1" xfId="0" applyNumberFormat="1" applyFont="1" applyFill="1" applyBorder="1" applyAlignment="1">
      <x:alignment horizontal="left" vertical="center" wrapText="1"/>
    </x:xf>
    <x:xf numFmtId="164" fontId="23" fillId="13" borderId="2" xfId="0" applyNumberFormat="1" applyFont="1" applyFill="1" applyBorder="1" applyAlignment="1">
      <x:alignment horizontal="left" vertical="center"/>
    </x:xf>
    <x:xf numFmtId="164" fontId="24" fillId="13" borderId="1" xfId="0" applyNumberFormat="1" applyFont="1" applyFill="1" applyBorder="1" applyAlignment="1">
      <x:alignment horizontal="left" vertical="center"/>
    </x:xf>
    <x:xf numFmtId="0" fontId="25" fillId="13" borderId="0" xfId="0" applyNumberFormat="1" applyFont="1" applyFill="1" applyBorder="1" applyAlignment="1">
      <x:alignment vertical="center"/>
    </x:xf>
    <x:xf numFmtId="0" fontId="26" fillId="13" borderId="0" xfId="0" applyNumberFormat="1" applyFont="1" applyFill="1" applyBorder="1" applyAlignment="1">
      <x:alignment vertical="center"/>
    </x:xf>
    <x:xf numFmtId="0" fontId="27" fillId="13" borderId="0" xfId="0" applyNumberFormat="1" applyFont="1" applyFill="1" applyBorder="1" applyAlignment="1">
      <x:alignment vertical="center"/>
    </x:xf>
    <x:xf numFmtId="0" fontId="25" fillId="13" borderId="0" xfId="0" applyNumberFormat="1" applyFont="1" applyFill="1" applyBorder="1" applyAlignment="1">
      <x:alignment horizontal="left" vertical="center"/>
    </x:xf>
    <x:xf numFmtId="0" fontId="27" fillId="13" borderId="1" xfId="0" applyNumberFormat="1" applyFont="1" applyFill="1" applyBorder="1" applyAlignment="1">
      <x:alignment horizontal="left" vertical="center" wrapText="1"/>
    </x:xf>
    <x:xf numFmtId="0" fontId="25" fillId="13" borderId="1" xfId="0" applyNumberFormat="1" applyFont="1" applyFill="1" applyBorder="1" applyAlignment="1">
      <x:alignment horizontal="left" vertical="center" wrapText="1"/>
    </x:xf>
    <x:xf numFmtId="164" fontId="27" fillId="13" borderId="2" xfId="0" applyNumberFormat="1" applyFont="1" applyFill="1" applyBorder="1" applyAlignment="1">
      <x:alignment horizontal="left" vertical="center"/>
    </x:xf>
    <x:xf numFmtId="164" fontId="25" fillId="13" borderId="1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 applyAlignment="1">
      <x:alignment vertical="center"/>
    </x:xf>
    <x:xf numFmtId="0" fontId="8" fillId="14" borderId="1" xfId="0" applyNumberFormat="1" applyFont="1" applyFill="1" applyBorder="1" applyAlignment="1">
      <x:alignment horizontal="center" vertical="center" wrapText="1"/>
    </x:xf>
    <x:xf numFmtId="164" fontId="23" fillId="14" borderId="2" xfId="0" applyNumberFormat="1" applyFont="1" applyFill="1" applyBorder="1" applyAlignment="1">
      <x:alignment horizontal="right" vertical="center"/>
    </x:xf>
    <x:xf numFmtId="165" fontId="23" fillId="14" borderId="2" xfId="0" applyNumberFormat="1" applyFont="1" applyFill="1" applyBorder="1" applyAlignment="1">
      <x:alignment horizontal="right" vertical="center"/>
    </x:xf>
    <x:xf numFmtId="166" fontId="23" fillId="14" borderId="2" xfId="0" applyNumberFormat="1" applyFont="1" applyFill="1" applyBorder="1" applyAlignment="1">
      <x:alignment horizontal="right" vertical="center"/>
    </x:xf>
    <x:xf numFmtId="167" fontId="23" fillId="14" borderId="2" xfId="0" applyNumberFormat="1" applyFont="1" applyFill="1" applyBorder="1" applyAlignment="1">
      <x:alignment horizontal="right" vertical="center"/>
    </x:xf>
    <x:xf numFmtId="168" fontId="23" fillId="14" borderId="2" xfId="0" applyNumberFormat="1" applyFont="1" applyFill="1" applyBorder="1" applyAlignment="1">
      <x:alignment horizontal="right" vertical="center"/>
    </x:xf>
    <x:xf numFmtId="0" fontId="8" fillId="14" borderId="0" xfId="0" applyNumberFormat="1" applyFont="1" applyFill="1" applyBorder="1" applyAlignment="1">
      <x:alignment horizontal="left" vertical="center"/>
    </x:xf>
    <x:xf numFmtId="0" fontId="22" fillId="14" borderId="1" xfId="0" applyNumberFormat="1" applyFont="1" applyFill="1" applyBorder="1" applyAlignment="1">
      <x:alignment horizontal="left" vertical="center"/>
    </x:xf>
    <x:xf numFmtId="169" fontId="23" fillId="14" borderId="2" xfId="0" applyNumberFormat="1" applyFont="1" applyFill="1" applyBorder="1" applyAlignment="1">
      <x:alignment horizontal="right" vertical="center"/>
    </x:xf>
    <x:xf numFmtId="0" fontId="24" fillId="14" borderId="1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28" fillId="14" borderId="0" xfId="0" applyNumberFormat="1" applyFont="1" applyFill="1" applyBorder="1" applyAlignment="1">
      <x:alignment vertical="center"/>
    </x:xf>
    <x:xf numFmtId="0" fontId="29" fillId="14" borderId="1" xfId="0" applyNumberFormat="1" applyFont="1" applyFill="1" applyBorder="1" applyAlignment="1">
      <x:alignment horizontal="center" vertical="center" wrapText="1"/>
    </x:xf>
    <x:xf numFmtId="164" fontId="28" fillId="14" borderId="2" xfId="0" applyNumberFormat="1" applyFont="1" applyFill="1" applyBorder="1" applyAlignment="1">
      <x:alignment horizontal="right" vertical="center"/>
    </x:xf>
    <x:xf numFmtId="165" fontId="28" fillId="14" borderId="2" xfId="0" applyNumberFormat="1" applyFont="1" applyFill="1" applyBorder="1" applyAlignment="1">
      <x:alignment horizontal="right" vertical="center"/>
    </x:xf>
    <x:xf numFmtId="166" fontId="28" fillId="14" borderId="2" xfId="0" applyNumberFormat="1" applyFont="1" applyFill="1" applyBorder="1" applyAlignment="1">
      <x:alignment horizontal="right" vertical="center"/>
    </x:xf>
    <x:xf numFmtId="167" fontId="28" fillId="14" borderId="2" xfId="0" applyNumberFormat="1" applyFont="1" applyFill="1" applyBorder="1" applyAlignment="1">
      <x:alignment horizontal="right" vertical="center"/>
    </x:xf>
    <x:xf numFmtId="168" fontId="28" fillId="14" borderId="2" xfId="0" applyNumberFormat="1" applyFont="1" applyFill="1" applyBorder="1" applyAlignment="1">
      <x:alignment horizontal="right" vertical="center"/>
    </x:xf>
    <x:xf numFmtId="0" fontId="29" fillId="14" borderId="0" xfId="0" applyNumberFormat="1" applyFont="1" applyFill="1" applyBorder="1" applyAlignment="1">
      <x:alignment horizontal="left" vertical="center"/>
    </x:xf>
    <x:xf numFmtId="0" fontId="28" fillId="14" borderId="1" xfId="0" applyNumberFormat="1" applyFont="1" applyFill="1" applyBorder="1" applyAlignment="1">
      <x:alignment horizontal="left" vertical="center"/>
    </x:xf>
    <x:xf numFmtId="169" fontId="28" fillId="14" borderId="2" xfId="0" applyNumberFormat="1" applyFont="1" applyFill="1" applyBorder="1" applyAlignment="1">
      <x:alignment horizontal="right" vertical="center"/>
    </x:xf>
    <x:xf numFmtId="0" fontId="29" fillId="14" borderId="1" xfId="0" applyNumberFormat="1" applyFont="1" applyFill="1" applyBorder="1" applyAlignment="1">
      <x:alignment horizontal="left" vertical="center"/>
    </x:xf>
    <x:xf numFmtId="0" fontId="28" fillId="14" borderId="0" xfId="0" applyNumberFormat="1" applyFont="1" applyFill="1" applyBorder="1"/>
    <x:xf numFmtId="0" fontId="28" fillId="14" borderId="14" xfId="0" applyNumberFormat="1" applyFont="1" applyFill="1" applyBorder="1" applyAlignment="1">
      <x:alignment vertical="center"/>
    </x:xf>
    <x:xf numFmtId="0" fontId="28" fillId="14" borderId="15" xfId="0" applyNumberFormat="1" applyFont="1" applyFill="1" applyBorder="1" applyAlignment="1">
      <x:alignment vertical="center"/>
    </x:xf>
    <x:xf numFmtId="0" fontId="28" fillId="14" borderId="16" xfId="0" applyNumberFormat="1" applyFont="1" applyFill="1" applyBorder="1" applyAlignment="1">
      <x:alignment vertical="center"/>
    </x:xf>
    <x:xf numFmtId="0" fontId="29" fillId="14" borderId="17" xfId="0" applyNumberFormat="1" applyFont="1" applyFill="1" applyBorder="1" applyAlignment="1">
      <x:alignment horizontal="center" vertical="center" wrapText="1"/>
    </x:xf>
    <x:xf numFmtId="0" fontId="29" fillId="14" borderId="18" xfId="0" applyNumberFormat="1" applyFont="1" applyFill="1" applyBorder="1" applyAlignment="1">
      <x:alignment horizontal="center" vertical="center" wrapText="1"/>
    </x:xf>
    <x:xf numFmtId="0" fontId="29" fillId="14" borderId="19" xfId="0" applyNumberFormat="1" applyFont="1" applyFill="1" applyBorder="1" applyAlignment="1">
      <x:alignment horizontal="center" vertical="center" wrapText="1"/>
    </x:xf>
    <x:xf numFmtId="164" fontId="28" fillId="14" borderId="20" xfId="0" applyNumberFormat="1" applyFont="1" applyFill="1" applyBorder="1" applyAlignment="1">
      <x:alignment horizontal="right" vertical="center"/>
    </x:xf>
    <x:xf numFmtId="165" fontId="28" fillId="14" borderId="21" xfId="0" applyNumberFormat="1" applyFont="1" applyFill="1" applyBorder="1" applyAlignment="1">
      <x:alignment horizontal="right" vertical="center"/>
    </x:xf>
    <x:xf numFmtId="166" fontId="28" fillId="14" borderId="21" xfId="0" applyNumberFormat="1" applyFont="1" applyFill="1" applyBorder="1" applyAlignment="1">
      <x:alignment horizontal="right" vertical="center"/>
    </x:xf>
    <x:xf numFmtId="167" fontId="28" fillId="14" borderId="21" xfId="0" applyNumberFormat="1" applyFont="1" applyFill="1" applyBorder="1" applyAlignment="1">
      <x:alignment horizontal="right" vertical="center"/>
    </x:xf>
    <x:xf numFmtId="168" fontId="28" fillId="14" borderId="21" xfId="0" applyNumberFormat="1" applyFont="1" applyFill="1" applyBorder="1" applyAlignment="1">
      <x:alignment horizontal="right" vertical="center"/>
    </x:xf>
    <x:xf numFmtId="166" fontId="28" fillId="14" borderId="22" xfId="0" applyNumberFormat="1" applyFont="1" applyFill="1" applyBorder="1" applyAlignment="1">
      <x:alignment horizontal="right" vertical="center"/>
    </x:xf>
    <x:xf numFmtId="0" fontId="28" fillId="14" borderId="23" xfId="0" applyNumberFormat="1" applyFont="1" applyFill="1" applyBorder="1" applyAlignment="1">
      <x:alignment vertical="center"/>
    </x:xf>
    <x:xf numFmtId="0" fontId="28" fillId="14" borderId="24" xfId="0" applyNumberFormat="1" applyFont="1" applyFill="1" applyBorder="1" applyAlignment="1">
      <x:alignment vertical="center"/>
    </x:xf>
    <x:xf numFmtId="0" fontId="28" fillId="14" borderId="25" xfId="0" applyNumberFormat="1" applyFont="1" applyFill="1" applyBorder="1" applyAlignment="1">
      <x:alignment vertical="center"/>
    </x:xf>
    <x:xf numFmtId="0" fontId="29" fillId="14" borderId="23" xfId="0" applyNumberFormat="1" applyFont="1" applyFill="1" applyBorder="1" applyAlignment="1">
      <x:alignment horizontal="left" vertical="center"/>
    </x:xf>
    <x:xf numFmtId="0" fontId="29" fillId="14" borderId="24" xfId="0" applyNumberFormat="1" applyFont="1" applyFill="1" applyBorder="1" applyAlignment="1">
      <x:alignment horizontal="left" vertical="center"/>
    </x:xf>
    <x:xf numFmtId="0" fontId="28" fillId="14" borderId="17" xfId="0" applyNumberFormat="1" applyFont="1" applyFill="1" applyBorder="1" applyAlignment="1">
      <x:alignment horizontal="left" vertical="center"/>
    </x:xf>
    <x:xf numFmtId="169" fontId="28" fillId="14" borderId="21" xfId="0" applyNumberFormat="1" applyFont="1" applyFill="1" applyBorder="1" applyAlignment="1">
      <x:alignment horizontal="right" vertical="center"/>
    </x:xf>
    <x:xf numFmtId="0" fontId="28" fillId="14" borderId="18" xfId="0" applyNumberFormat="1" applyFont="1" applyFill="1" applyBorder="1" applyAlignment="1">
      <x:alignment horizontal="left" vertical="center"/>
    </x:xf>
    <x:xf numFmtId="0" fontId="29" fillId="14" borderId="18" xfId="0" applyNumberFormat="1" applyFont="1" applyFill="1" applyBorder="1" applyAlignment="1">
      <x:alignment horizontal="left" vertical="center"/>
    </x:xf>
    <x:xf numFmtId="0" fontId="28" fillId="14" borderId="23" xfId="0" applyNumberFormat="1" applyFont="1" applyFill="1" applyBorder="1"/>
    <x:xf numFmtId="0" fontId="28" fillId="14" borderId="24" xfId="0" applyNumberFormat="1" applyFont="1" applyFill="1" applyBorder="1"/>
    <x:xf numFmtId="0" fontId="28" fillId="14" borderId="25" xfId="0" applyNumberFormat="1" applyFont="1" applyFill="1" applyBorder="1"/>
    <x:xf numFmtId="0" fontId="28" fillId="14" borderId="26" xfId="0" applyNumberFormat="1" applyFont="1" applyFill="1" applyBorder="1"/>
    <x:xf numFmtId="0" fontId="28" fillId="14" borderId="27" xfId="0" applyNumberFormat="1" applyFont="1" applyFill="1" applyBorder="1"/>
    <x:xf numFmtId="0" fontId="28" fillId="14" borderId="28" xfId="0" applyNumberFormat="1" applyFont="1" applyFill="1" applyBorder="1"/>
    <x:xf numFmtId="0" fontId="25" fillId="15" borderId="0" xfId="0" applyNumberFormat="1" applyFont="1" applyFill="1" applyBorder="1" applyAlignment="1">
      <x:alignment horizontal="left" vertical="center"/>
    </x:xf>
    <x:xf numFmtId="0" fontId="27" fillId="16" borderId="1" xfId="0" applyNumberFormat="1" applyFont="1" applyFill="1" applyBorder="1" applyAlignment="1">
      <x:alignment horizontal="left" vertical="center" wrapText="1"/>
    </x:xf>
    <x:xf numFmtId="0" fontId="25" fillId="16" borderId="1" xfId="0" applyNumberFormat="1" applyFont="1" applyFill="1" applyBorder="1" applyAlignment="1">
      <x:alignment horizontal="left" vertical="center" wrapText="1"/>
    </x:xf>
    <x:xf numFmtId="200" fontId="28" fillId="14" borderId="20" xfId="0" applyNumberFormat="1" applyFont="1" applyFill="1" applyBorder="1" applyAlignment="1">
      <x:alignment horizontal="right" vertical="center"/>
    </x:xf>
    <x:xf numFmtId="200" fontId="28" fillId="14" borderId="21" xfId="0" applyNumberFormat="1" applyFont="1" applyFill="1" applyBorder="1" applyAlignment="1">
      <x:alignment horizontal="right" vertical="center"/>
    </x:xf>
    <x:xf numFmtId="200" fontId="28" fillId="14" borderId="23" xfId="0" applyNumberFormat="1" applyFont="1" applyFill="1" applyBorder="1" applyAlignment="1">
      <x:alignment vertical="center"/>
    </x:xf>
    <x:xf numFmtId="200" fontId="28" fillId="14" borderId="24" xfId="0" applyNumberFormat="1" applyFont="1" applyFill="1" applyBorder="1" applyAlignment="1">
      <x:alignment vertical="center"/>
    </x:xf>
    <x:xf numFmtId="200" fontId="29" fillId="14" borderId="23" xfId="0" applyNumberFormat="1" applyFont="1" applyFill="1" applyBorder="1" applyAlignment="1">
      <x:alignment horizontal="left" vertical="center"/>
    </x:xf>
    <x:xf numFmtId="200" fontId="29" fillId="14" borderId="24" xfId="0" applyNumberFormat="1" applyFont="1" applyFill="1" applyBorder="1" applyAlignment="1">
      <x:alignment horizontal="left" vertical="center"/>
    </x:xf>
    <x:xf numFmtId="200" fontId="29" fillId="14" borderId="17" xfId="0" applyNumberFormat="1" applyFont="1" applyFill="1" applyBorder="1" applyAlignment="1">
      <x:alignment horizontal="center" vertical="center" wrapText="1"/>
    </x:xf>
    <x:xf numFmtId="200" fontId="29" fillId="14" borderId="18" xfId="0" applyNumberFormat="1" applyFont="1" applyFill="1" applyBorder="1" applyAlignment="1">
      <x:alignment horizontal="center" vertical="center" wrapText="1"/>
    </x:xf>
    <x:xf numFmtId="200" fontId="28" fillId="14" borderId="17" xfId="0" applyNumberFormat="1" applyFont="1" applyFill="1" applyBorder="1" applyAlignment="1">
      <x:alignment horizontal="left" vertical="center"/>
    </x:xf>
    <x:xf numFmtId="200" fontId="28" fillId="14" borderId="18" xfId="0" applyNumberFormat="1" applyFont="1" applyFill="1" applyBorder="1" applyAlignment="1">
      <x:alignment horizontal="left" vertical="center"/>
    </x:xf>
    <x:xf numFmtId="200" fontId="29" fillId="14" borderId="18" xfId="0" applyNumberFormat="1" applyFont="1" applyFill="1" applyBorder="1" applyAlignment="1">
      <x:alignment horizontal="left" vertical="center"/>
    </x:xf>
    <x:xf numFmtId="200" fontId="28" fillId="14" borderId="23" xfId="0" applyNumberFormat="1" applyFont="1" applyFill="1" applyBorder="1"/>
    <x:xf numFmtId="200" fontId="28" fillId="14" borderId="24" xfId="0" applyNumberFormat="1" applyFont="1" applyFill="1" applyBorder="1"/>
    <x:xf numFmtId="200" fontId="28" fillId="14" borderId="20" xfId="0" applyNumberFormat="1" applyFont="1" applyFill="1" applyBorder="1" applyAlignment="1">
      <x:alignment horizontal="left" vertical="center"/>
    </x:xf>
    <x:xf numFmtId="200" fontId="28" fillId="14" borderId="21" xfId="0" applyNumberFormat="1" applyFont="1" applyFill="1" applyBorder="1" applyAlignment="1">
      <x:alignment horizontal="left" vertical="center"/>
    </x:xf>
    <x:xf numFmtId="200" fontId="28" fillId="14" borderId="23" xfId="0" applyNumberFormat="1" applyFont="1" applyFill="1" applyBorder="1" applyAlignment="1">
      <x:alignment horizontal="left" vertical="center"/>
    </x:xf>
    <x:xf numFmtId="200" fontId="28" fillId="14" borderId="24" xfId="0" applyNumberFormat="1" applyFont="1" applyFill="1" applyBorder="1" applyAlignment="1">
      <x:alignment horizontal="left" vertical="center"/>
    </x:xf>
    <x:xf numFmtId="200" fontId="29" fillId="14" borderId="17" xfId="0" applyNumberFormat="1" applyFont="1" applyFill="1" applyBorder="1" applyAlignment="1">
      <x:alignment horizontal="left" vertical="center" wrapText="1"/>
    </x:xf>
    <x:xf numFmtId="200" fontId="29" fillId="14" borderId="18" xfId="0" applyNumberFormat="1" applyFont="1" applyFill="1" applyBorder="1" applyAlignment="1">
      <x:alignment horizontal="left" vertical="center" wrapText="1"/>
    </x:xf>
    <x:xf numFmtId="200" fontId="28" fillId="14" borderId="23" xfId="0" applyNumberFormat="1" applyFont="1" applyFill="1" applyBorder="1" applyAlignment="1">
      <x:alignment horizontal="left"/>
    </x:xf>
    <x:xf numFmtId="200" fontId="28" fillId="14" borderId="24" xfId="0" applyNumberFormat="1" applyFont="1" applyFill="1" applyBorder="1" applyAlignment="1">
      <x:alignment horizontal="left"/>
    </x:xf>
    <x:xf numFmtId="201" fontId="28" fillId="14" borderId="20" xfId="0" applyNumberFormat="1" applyFont="1" applyFill="1" applyBorder="1" applyAlignment="1">
      <x:alignment horizontal="left" vertical="center"/>
    </x:xf>
    <x:xf numFmtId="201" fontId="28" fillId="14" borderId="23" xfId="0" applyNumberFormat="1" applyFont="1" applyFill="1" applyBorder="1" applyAlignment="1">
      <x:alignment horizontal="left" vertical="center"/>
    </x:xf>
    <x:xf numFmtId="201" fontId="29" fillId="14" borderId="23" xfId="0" applyNumberFormat="1" applyFont="1" applyFill="1" applyBorder="1" applyAlignment="1">
      <x:alignment horizontal="left" vertical="center"/>
    </x:xf>
    <x:xf numFmtId="201" fontId="29" fillId="14" borderId="17" xfId="0" applyNumberFormat="1" applyFont="1" applyFill="1" applyBorder="1" applyAlignment="1">
      <x:alignment horizontal="left" vertical="center" wrapText="1"/>
    </x:xf>
    <x:xf numFmtId="201" fontId="28" fillId="14" borderId="17" xfId="0" applyNumberFormat="1" applyFont="1" applyFill="1" applyBorder="1" applyAlignment="1">
      <x:alignment horizontal="left" vertical="center"/>
    </x:xf>
    <x:xf numFmtId="201" fontId="28" fillId="14" borderId="23" xfId="0" applyNumberFormat="1" applyFont="1" applyFill="1" applyBorder="1" applyAlignment="1">
      <x:alignment horizontal="left"/>
    </x:xf>
    <x:xf numFmtId="201" fontId="28" fillId="14" borderId="20" xfId="0" applyNumberFormat="1" applyFont="1" applyFill="1" applyBorder="1" applyAlignment="1">
      <x:alignment horizontal="center" vertical="center"/>
    </x:xf>
    <x:xf numFmtId="200" fontId="28" fillId="14" borderId="21" xfId="0" applyNumberFormat="1" applyFont="1" applyFill="1" applyBorder="1" applyAlignment="1">
      <x:alignment horizontal="center" vertical="center"/>
    </x:xf>
    <x:xf numFmtId="201" fontId="28" fillId="14" borderId="23" xfId="0" applyNumberFormat="1" applyFont="1" applyFill="1" applyBorder="1" applyAlignment="1">
      <x:alignment horizontal="center" vertical="center"/>
    </x:xf>
    <x:xf numFmtId="200" fontId="28" fillId="14" borderId="24" xfId="0" applyNumberFormat="1" applyFont="1" applyFill="1" applyBorder="1" applyAlignment="1">
      <x:alignment horizontal="center" vertical="center"/>
    </x:xf>
    <x:xf numFmtId="201" fontId="29" fillId="14" borderId="23" xfId="0" applyNumberFormat="1" applyFont="1" applyFill="1" applyBorder="1" applyAlignment="1">
      <x:alignment horizontal="center" vertical="center"/>
    </x:xf>
    <x:xf numFmtId="200" fontId="29" fillId="14" borderId="24" xfId="0" applyNumberFormat="1" applyFont="1" applyFill="1" applyBorder="1" applyAlignment="1">
      <x:alignment horizontal="center" vertical="center"/>
    </x:xf>
    <x:xf numFmtId="201" fontId="29" fillId="14" borderId="17" xfId="0" applyNumberFormat="1" applyFont="1" applyFill="1" applyBorder="1" applyAlignment="1">
      <x:alignment horizontal="center" vertical="center" wrapText="1"/>
    </x:xf>
    <x:xf numFmtId="201" fontId="28" fillId="14" borderId="17" xfId="0" applyNumberFormat="1" applyFont="1" applyFill="1" applyBorder="1" applyAlignment="1">
      <x:alignment horizontal="center" vertical="center"/>
    </x:xf>
    <x:xf numFmtId="201" fontId="28" fillId="14" borderId="23" xfId="0" applyNumberFormat="1" applyFont="1" applyFill="1" applyBorder="1" applyAlignment="1">
      <x:alignment horizontal="center"/>
    </x:xf>
    <x:xf numFmtId="200" fontId="28" fillId="14" borderId="24" xfId="0" applyNumberFormat="1" applyFont="1" applyFill="1" applyBorder="1" applyAlignment="1">
      <x:alignment horizontal="center"/>
    </x:xf>
    <x:xf numFmtId="200" fontId="28" fillId="14" borderId="24" xfId="0" applyNumberFormat="1" applyFont="1" applyFill="1" applyBorder="1" applyAlignment="1">
      <x:alignment horizontal="right" vertical="center"/>
    </x:xf>
    <x:xf numFmtId="200" fontId="29" fillId="14" borderId="24" xfId="0" applyNumberFormat="1" applyFont="1" applyFill="1" applyBorder="1" applyAlignment="1">
      <x:alignment horizontal="right" vertical="center"/>
    </x:xf>
    <x:xf numFmtId="200" fontId="28" fillId="14" borderId="24" xfId="0" applyNumberFormat="1" applyFont="1" applyFill="1" applyBorder="1" applyAlignment="1">
      <x:alignment horizontal="right"/>
    </x:xf>
    <x:xf numFmtId="200" fontId="29" fillId="14" borderId="18" xfId="0" applyNumberFormat="1" applyFont="1" applyFill="1" applyBorder="1" applyAlignment="1">
      <x:alignment horizontal="right" vertical="center" wrapText="1"/>
    </x:xf>
    <x:xf numFmtId="200" fontId="28" fillId="14" borderId="18" xfId="0" applyNumberFormat="1" applyFont="1" applyFill="1" applyBorder="1" applyAlignment="1">
      <x:alignment horizontal="right" vertical="center"/>
    </x:xf>
    <x:xf numFmtId="200" fontId="29" fillId="14" borderId="18" xfId="0" applyNumberFormat="1" applyFont="1" applyFill="1" applyBorder="1" applyAlignment="1">
      <x:alignment horizontal="right" vertical="center"/>
    </x:xf>
    <x:xf numFmtId="202" fontId="28" fillId="14" borderId="21" xfId="0" applyNumberFormat="1" applyFont="1" applyFill="1" applyBorder="1" applyAlignment="1">
      <x:alignment horizontal="center" vertical="center"/>
    </x:xf>
    <x:xf numFmtId="202" fontId="28" fillId="14" borderId="24" xfId="0" applyNumberFormat="1" applyFont="1" applyFill="1" applyBorder="1" applyAlignment="1">
      <x:alignment horizontal="center" vertical="center"/>
    </x:xf>
    <x:xf numFmtId="202" fontId="29" fillId="14" borderId="24" xfId="0" applyNumberFormat="1" applyFont="1" applyFill="1" applyBorder="1" applyAlignment="1">
      <x:alignment horizontal="center" vertical="center"/>
    </x:xf>
    <x:xf numFmtId="202" fontId="29" fillId="14" borderId="18" xfId="0" applyNumberFormat="1" applyFont="1" applyFill="1" applyBorder="1" applyAlignment="1">
      <x:alignment horizontal="center" vertical="center" wrapText="1"/>
    </x:xf>
    <x:xf numFmtId="202" fontId="28" fillId="14" borderId="24" xfId="0" applyNumberFormat="1" applyFont="1" applyFill="1" applyBorder="1" applyAlignment="1">
      <x:alignment horizontal="center"/>
    </x:xf>
    <x:xf numFmtId="200" fontId="28" fillId="17" borderId="21" xfId="0" applyNumberFormat="1" applyFont="1" applyFill="1" applyBorder="1" applyAlignment="1">
      <x:alignment horizontal="right" vertical="center"/>
    </x:xf>
    <x:xf numFmtId="202" fontId="28" fillId="17" borderId="21" xfId="0" applyNumberFormat="1" applyFont="1" applyFill="1" applyBorder="1" applyAlignment="1">
      <x:alignment horizontal="center" vertical="center"/>
    </x:xf>
    <x:xf numFmtId="200" fontId="28" fillId="17" borderId="24" xfId="0" applyNumberFormat="1" applyFont="1" applyFill="1" applyBorder="1" applyAlignment="1">
      <x:alignment horizontal="right" vertical="center"/>
    </x:xf>
    <x:xf numFmtId="202" fontId="28" fillId="17" borderId="24" xfId="0" applyNumberFormat="1" applyFont="1" applyFill="1" applyBorder="1" applyAlignment="1">
      <x:alignment horizontal="center" vertical="center"/>
    </x:xf>
    <x:xf numFmtId="200" fontId="29" fillId="17" borderId="24" xfId="0" applyNumberFormat="1" applyFont="1" applyFill="1" applyBorder="1" applyAlignment="1">
      <x:alignment horizontal="right" vertical="center"/>
    </x:xf>
    <x:xf numFmtId="200" fontId="29" fillId="17" borderId="18" xfId="0" applyNumberFormat="1" applyFont="1" applyFill="1" applyBorder="1" applyAlignment="1">
      <x:alignment horizontal="right" vertical="center" wrapText="1"/>
    </x:xf>
    <x:xf numFmtId="200" fontId="28" fillId="17" borderId="18" xfId="0" applyNumberFormat="1" applyFont="1" applyFill="1" applyBorder="1" applyAlignment="1">
      <x:alignment horizontal="right" vertical="center"/>
    </x:xf>
    <x:xf numFmtId="200" fontId="28" fillId="17" borderId="24" xfId="0" applyNumberFormat="1" applyFont="1" applyFill="1" applyBorder="1" applyAlignment="1">
      <x:alignment horizontal="right"/>
    </x:xf>
    <x:xf numFmtId="202" fontId="28" fillId="17" borderId="24" xfId="0" applyNumberFormat="1" applyFont="1" applyFill="1" applyBorder="1" applyAlignment="1">
      <x:alignment horizontal="center"/>
    </x:xf>
    <x:xf numFmtId="200" fontId="30" fillId="17" borderId="21" xfId="0" applyNumberFormat="1" applyFont="1" applyFill="1" applyBorder="1" applyAlignment="1">
      <x:alignment horizontal="right" vertical="center"/>
    </x:xf>
    <x:xf numFmtId="202" fontId="30" fillId="17" borderId="21" xfId="0" applyNumberFormat="1" applyFont="1" applyFill="1" applyBorder="1" applyAlignment="1">
      <x:alignment horizontal="center" vertical="center"/>
    </x:xf>
    <x:xf numFmtId="200" fontId="30" fillId="17" borderId="24" xfId="0" applyNumberFormat="1" applyFont="1" applyFill="1" applyBorder="1" applyAlignment="1">
      <x:alignment horizontal="right" vertical="center"/>
    </x:xf>
    <x:xf numFmtId="202" fontId="30" fillId="17" borderId="24" xfId="0" applyNumberFormat="1" applyFont="1" applyFill="1" applyBorder="1" applyAlignment="1">
      <x:alignment horizontal="center" vertical="center"/>
    </x:xf>
    <x:xf numFmtId="200" fontId="31" fillId="17" borderId="24" xfId="0" applyNumberFormat="1" applyFont="1" applyFill="1" applyBorder="1" applyAlignment="1">
      <x:alignment horizontal="right" vertical="center"/>
    </x:xf>
    <x:xf numFmtId="200" fontId="31" fillId="17" borderId="18" xfId="0" applyNumberFormat="1" applyFont="1" applyFill="1" applyBorder="1" applyAlignment="1">
      <x:alignment horizontal="right" vertical="center" wrapText="1"/>
    </x:xf>
    <x:xf numFmtId="200" fontId="30" fillId="17" borderId="18" xfId="0" applyNumberFormat="1" applyFont="1" applyFill="1" applyBorder="1" applyAlignment="1">
      <x:alignment horizontal="right" vertical="center"/>
    </x:xf>
    <x:xf numFmtId="200" fontId="30" fillId="17" borderId="24" xfId="0" applyNumberFormat="1" applyFont="1" applyFill="1" applyBorder="1" applyAlignment="1">
      <x:alignment horizontal="right"/>
    </x:xf>
    <x:xf numFmtId="202" fontId="30" fillId="17" borderId="24" xfId="0" applyNumberFormat="1" applyFont="1" applyFill="1" applyBorder="1" applyAlignment="1">
      <x:alignment horizontal="center"/>
    </x:xf>
    <x:xf numFmtId="200" fontId="32" fillId="14" borderId="21" xfId="0" applyNumberFormat="1" applyFont="1" applyFill="1" applyBorder="1" applyAlignment="1">
      <x:alignment horizontal="right" vertical="center"/>
    </x:xf>
    <x:xf numFmtId="200" fontId="32" fillId="14" borderId="24" xfId="0" applyNumberFormat="1" applyFont="1" applyFill="1" applyBorder="1" applyAlignment="1">
      <x:alignment horizontal="right" vertical="center"/>
    </x:xf>
    <x:xf numFmtId="200" fontId="33" fillId="14" borderId="24" xfId="0" applyNumberFormat="1" applyFont="1" applyFill="1" applyBorder="1" applyAlignment="1">
      <x:alignment horizontal="right" vertical="center"/>
    </x:xf>
    <x:xf numFmtId="200" fontId="33" fillId="14" borderId="18" xfId="0" applyNumberFormat="1" applyFont="1" applyFill="1" applyBorder="1" applyAlignment="1">
      <x:alignment horizontal="right" vertical="center" wrapText="1"/>
    </x:xf>
    <x:xf numFmtId="200" fontId="33" fillId="14" borderId="18" xfId="0" applyNumberFormat="1" applyFont="1" applyFill="1" applyBorder="1" applyAlignment="1">
      <x:alignment horizontal="right" vertical="center"/>
    </x:xf>
    <x:xf numFmtId="200" fontId="32" fillId="14" borderId="24" xfId="0" applyNumberFormat="1" applyFont="1" applyFill="1" applyBorder="1" applyAlignment="1">
      <x:alignment horizontal="right"/>
    </x:xf>
    <x:xf numFmtId="200" fontId="28" fillId="18" borderId="21" xfId="0" applyNumberFormat="1" applyFont="1" applyFill="1" applyBorder="1" applyAlignment="1">
      <x:alignment horizontal="left" vertical="center"/>
    </x:xf>
    <x:xf numFmtId="200" fontId="28" fillId="18" borderId="24" xfId="0" applyNumberFormat="1" applyFont="1" applyFill="1" applyBorder="1" applyAlignment="1">
      <x:alignment horizontal="left" vertical="center"/>
    </x:xf>
    <x:xf numFmtId="200" fontId="29" fillId="18" borderId="24" xfId="0" applyNumberFormat="1" applyFont="1" applyFill="1" applyBorder="1" applyAlignment="1">
      <x:alignment horizontal="left" vertical="center"/>
    </x:xf>
    <x:xf numFmtId="200" fontId="28" fillId="18" borderId="24" xfId="0" applyNumberFormat="1" applyFont="1" applyFill="1" applyBorder="1" applyAlignment="1">
      <x:alignment horizontal="left"/>
    </x:xf>
    <x:xf numFmtId="203" fontId="30" fillId="17" borderId="21" xfId="0" applyNumberFormat="1" applyFont="1" applyFill="1" applyBorder="1" applyAlignment="1">
      <x:alignment horizontal="right" vertical="center"/>
    </x:xf>
    <x:xf numFmtId="203" fontId="32" fillId="14" borderId="21" xfId="0" applyNumberFormat="1" applyFont="1" applyFill="1" applyBorder="1" applyAlignment="1">
      <x:alignment horizontal="right" vertical="center"/>
    </x:xf>
    <x:xf numFmtId="203" fontId="30" fillId="17" borderId="24" xfId="0" applyNumberFormat="1" applyFont="1" applyFill="1" applyBorder="1" applyAlignment="1">
      <x:alignment horizontal="right" vertical="center"/>
    </x:xf>
    <x:xf numFmtId="203" fontId="32" fillId="14" borderId="24" xfId="0" applyNumberFormat="1" applyFont="1" applyFill="1" applyBorder="1" applyAlignment="1">
      <x:alignment horizontal="right" vertical="center"/>
    </x:xf>
    <x:xf numFmtId="203" fontId="31" fillId="17" borderId="24" xfId="0" applyNumberFormat="1" applyFont="1" applyFill="1" applyBorder="1" applyAlignment="1">
      <x:alignment horizontal="right" vertical="center"/>
    </x:xf>
    <x:xf numFmtId="203" fontId="33" fillId="14" borderId="24" xfId="0" applyNumberFormat="1" applyFont="1" applyFill="1" applyBorder="1" applyAlignment="1">
      <x:alignment horizontal="right" vertical="center"/>
    </x:xf>
    <x:xf numFmtId="203" fontId="31" fillId="17" borderId="18" xfId="0" applyNumberFormat="1" applyFont="1" applyFill="1" applyBorder="1" applyAlignment="1">
      <x:alignment horizontal="right" vertical="center" wrapText="1"/>
    </x:xf>
    <x:xf numFmtId="203" fontId="33" fillId="14" borderId="18" xfId="0" applyNumberFormat="1" applyFont="1" applyFill="1" applyBorder="1" applyAlignment="1">
      <x:alignment horizontal="right" vertical="center" wrapText="1"/>
    </x:xf>
    <x:xf numFmtId="203" fontId="30" fillId="17" borderId="18" xfId="0" applyNumberFormat="1" applyFont="1" applyFill="1" applyBorder="1" applyAlignment="1">
      <x:alignment horizontal="right" vertical="center"/>
    </x:xf>
    <x:xf numFmtId="203" fontId="33" fillId="14" borderId="18" xfId="0" applyNumberFormat="1" applyFont="1" applyFill="1" applyBorder="1" applyAlignment="1">
      <x:alignment horizontal="right" vertical="center"/>
    </x:xf>
    <x:xf numFmtId="203" fontId="30" fillId="17" borderId="24" xfId="0" applyNumberFormat="1" applyFont="1" applyFill="1" applyBorder="1" applyAlignment="1">
      <x:alignment horizontal="right"/>
    </x:xf>
    <x:xf numFmtId="203" fontId="32" fillId="14" borderId="24" xfId="0" applyNumberFormat="1" applyFont="1" applyFill="1" applyBorder="1" applyAlignment="1">
      <x:alignment horizontal="right"/>
    </x:xf>
    <x:xf numFmtId="203" fontId="28" fillId="14" borderId="24" xfId="0" applyNumberFormat="1" applyFont="1" applyFill="1" applyBorder="1"/>
    <x:xf numFmtId="204" fontId="30" fillId="17" borderId="21" xfId="0" applyNumberFormat="1" applyFont="1" applyFill="1" applyBorder="1" applyAlignment="1">
      <x:alignment horizontal="right" vertical="center"/>
    </x:xf>
    <x:xf numFmtId="204" fontId="30" fillId="17" borderId="24" xfId="0" applyNumberFormat="1" applyFont="1" applyFill="1" applyBorder="1" applyAlignment="1">
      <x:alignment horizontal="right" vertical="center"/>
    </x:xf>
    <x:xf numFmtId="204" fontId="31" fillId="17" borderId="24" xfId="0" applyNumberFormat="1" applyFont="1" applyFill="1" applyBorder="1" applyAlignment="1">
      <x:alignment horizontal="right" vertical="center"/>
    </x:xf>
    <x:xf numFmtId="204" fontId="30" fillId="17" borderId="24" xfId="0" applyNumberFormat="1" applyFont="1" applyFill="1" applyBorder="1" applyAlignment="1">
      <x:alignment horizontal="right"/>
    </x:xf>
    <x:xf numFmtId="204" fontId="28" fillId="14" borderId="24" xfId="0" applyNumberFormat="1" applyFont="1" applyFill="1" applyBorder="1"/>
    <x:xf numFmtId="0" fontId="28" fillId="15" borderId="23" xfId="0" applyNumberFormat="1" applyFont="1" applyFill="1" applyBorder="1"/>
    <x:xf numFmtId="0" fontId="28" fillId="15" borderId="24" xfId="0" applyNumberFormat="1" applyFont="1" applyFill="1" applyBorder="1"/>
    <x:xf numFmtId="204" fontId="28" fillId="15" borderId="24" xfId="0" applyNumberFormat="1" applyFont="1" applyFill="1" applyBorder="1"/>
    <x:xf numFmtId="203" fontId="28" fillId="15" borderId="24" xfId="0" applyNumberFormat="1" applyFont="1" applyFill="1" applyBorder="1"/>
    <x:xf numFmtId="0" fontId="25" fillId="15" borderId="23" xfId="0" applyNumberFormat="1" applyFont="1" applyFill="1" applyBorder="1"/>
    <x:xf numFmtId="0" fontId="25" fillId="15" borderId="24" xfId="0" applyNumberFormat="1" applyFont="1" applyFill="1" applyBorder="1"/>
    <x:xf numFmtId="204" fontId="25" fillId="15" borderId="24" xfId="0" applyNumberFormat="1" applyFont="1" applyFill="1" applyBorder="1"/>
    <x:xf numFmtId="203" fontId="25" fillId="15" borderId="24" xfId="0" applyNumberFormat="1" applyFont="1" applyFill="1" applyBorder="1"/>
    <x:xf numFmtId="0" fontId="29" fillId="15" borderId="17" xfId="0" applyNumberFormat="1" applyFont="1" applyFill="1" applyBorder="1" applyAlignment="1">
      <x:alignment horizontal="center" vertical="center" wrapText="1"/>
    </x:xf>
    <x:xf numFmtId="0" fontId="29" fillId="15" borderId="18" xfId="0" applyNumberFormat="1" applyFont="1" applyFill="1" applyBorder="1" applyAlignment="1">
      <x:alignment horizontal="center" vertical="center" wrapText="1"/>
    </x:xf>
    <x:xf numFmtId="0" fontId="25" fillId="15" borderId="17" xfId="0" applyNumberFormat="1" applyFont="1" applyFill="1" applyBorder="1" applyAlignment="1">
      <x:alignment horizontal="center" vertical="center" wrapText="1"/>
    </x:xf>
    <x:xf numFmtId="0" fontId="25" fillId="15" borderId="18" xfId="0" applyNumberFormat="1" applyFont="1" applyFill="1" applyBorder="1" applyAlignment="1">
      <x:alignment horizontal="center" vertical="center" wrapText="1"/>
    </x:xf>
    <x:xf numFmtId="200" fontId="28" fillId="14" borderId="21" xfId="0" applyNumberFormat="1" applyFont="1" applyFill="1" applyBorder="1" applyAlignment="1">
      <x:alignment horizontal="left" vertical="center" wrapText="1"/>
    </x:xf>
    <x:xf numFmtId="200" fontId="28" fillId="14" borderId="24" xfId="0" applyNumberFormat="1" applyFont="1" applyFill="1" applyBorder="1" applyAlignment="1">
      <x:alignment horizontal="left" vertical="center" wrapText="1"/>
    </x:xf>
    <x:xf numFmtId="200" fontId="29" fillId="14" borderId="24" xfId="0" applyNumberFormat="1" applyFont="1" applyFill="1" applyBorder="1" applyAlignment="1">
      <x:alignment horizontal="left" vertical="center" wrapText="1"/>
    </x:xf>
    <x:xf numFmtId="200" fontId="28" fillId="14" borderId="24" xfId="0" applyNumberFormat="1" applyFont="1" applyFill="1" applyBorder="1" applyAlignment="1">
      <x:alignment horizontal="left" wrapText="1"/>
    </x:xf>
    <x:xf numFmtId="0" fontId="34" fillId="13" borderId="0" xfId="0" applyNumberFormat="1" applyFont="1" applyFill="1" applyBorder="1" applyAlignment="1">
      <x:alignment vertical="center"/>
    </x:xf>
    <x:xf numFmtId="0" fontId="28" fillId="0" borderId="0" xfId="0" applyNumberFormat="1" applyFont="1" applyFill="1" applyBorder="1"/>
    <x:xf numFmtId="0" fontId="28" fillId="0" borderId="0" xfId="0" applyNumberFormat="1" applyFont="1" applyFill="1" applyBorder="1" applyAlignment="1">
      <x:alignment vertical="center"/>
    </x:xf>
    <x:xf numFmtId="0" fontId="28" fillId="13" borderId="0" xfId="0" applyNumberFormat="1" applyFont="1" applyFill="1" applyBorder="1" applyAlignment="1">
      <x:alignment vertical="center"/>
    </x:xf>
    <x:xf numFmtId="0" fontId="28" fillId="19" borderId="0" xfId="0" applyNumberFormat="1" applyFont="1" applyFill="1" applyBorder="1" applyAlignment="1">
      <x:alignment vertical="center"/>
    </x:xf>
    <x:xf numFmtId="0" fontId="35" fillId="19" borderId="0" xfId="0" applyNumberFormat="1" applyFont="1" applyFill="1" applyBorder="1" applyAlignment="1">
      <x:alignment vertical="center"/>
    </x:xf>
    <x:xf numFmtId="0" fontId="28" fillId="15" borderId="0" xfId="0" applyNumberFormat="1" applyFont="1" applyFill="1" applyBorder="1" applyAlignment="1">
      <x:alignment vertical="center"/>
    </x:xf>
    <x:xf numFmtId="0" fontId="25" fillId="15" borderId="0" xfId="0" applyNumberFormat="1" applyFont="1" applyFill="1" applyBorder="1" applyAlignment="1">
      <x:alignment vertical="center"/>
    </x:xf>
    <x:xf numFmtId="0" fontId="25" fillId="15" borderId="0" xfId="0" applyNumberFormat="1" applyFont="1" applyFill="1" applyBorder="1" applyAlignment="1">
      <x:alignment vertical="center" wrapText="1"/>
    </x:xf>
    <x:xf numFmtId="0" fontId="25" fillId="15" borderId="0" xfId="0" applyNumberFormat="1" applyFont="1" applyFill="1" applyBorder="1" applyAlignment="1">
      <x:alignment horizontal="center" vertical="center" wrapText="1"/>
    </x:xf>
    <x:xf numFmtId="202" fontId="28" fillId="0" borderId="0" xfId="0" applyNumberFormat="1" applyFont="1" applyFill="1" applyBorder="1" applyAlignment="1">
      <x:alignment vertical="center"/>
    </x:xf>
    <x:xf numFmtId="205" fontId="28" fillId="0" borderId="0" xfId="0" applyNumberFormat="1" applyFont="1" applyFill="1" applyBorder="1" applyAlignment="1">
      <x:alignment vertical="center"/>
    </x:xf>
    <x:xf numFmtId="205" fontId="36" fillId="0" borderId="0" xfId="0" applyNumberFormat="1" applyFont="1" applyFill="1" applyBorder="1" applyAlignment="1">
      <x:alignment vertical="center"/>
    </x:xf>
    <x:xf numFmtId="0" fontId="28" fillId="0" borderId="0" xfId="0" applyNumberFormat="1" applyFont="1" applyFill="1" applyBorder="1" applyAlignment="1">
      <x:alignment vertical="center" wrapText="1"/>
    </x:xf>
    <x:xf numFmtId="204" fontId="11" fillId="10" borderId="9" xfId="0" applyNumberFormat="1" applyFont="1" applyFill="1" applyBorder="1" applyAlignment="1">
      <x:alignment horizontal="left" vertical="center"/>
    </x:xf>
    <x:xf numFmtId="206" fontId="11" fillId="10" borderId="9" xfId="0" applyNumberFormat="1" applyFont="1" applyFill="1" applyBorder="1" applyAlignment="1">
      <x:alignment horizontal="left" vertical="center"/>
    </x:xf>
    <x:xf numFmtId="202" fontId="12" fillId="10" borderId="11" xfId="0" applyNumberFormat="1" applyFont="1" applyFill="1" applyBorder="1" applyAlignment="1">
      <x:alignment horizontal="right" vertical="center"/>
    </x:xf>
    <x:xf numFmtId="202" fontId="37" fillId="10" borderId="11" xfId="0" applyNumberFormat="1" applyFont="1" applyFill="1" applyBorder="1" applyAlignment="1">
      <x:alignment horizontal="right" vertical="center"/>
    </x:xf>
    <x:xf numFmtId="204" fontId="5" fillId="10" borderId="1" xfId="0" applyNumberFormat="1" applyFont="1" applyFill="1" applyBorder="1" applyAlignment="1">
      <x:alignment horizontal="left" vertical="center"/>
    </x:xf>
    <x:xf numFmtId="204" fontId="6" fillId="10" borderId="1" xfId="0" applyNumberFormat="1" applyFont="1" applyFill="1" applyBorder="1" applyAlignment="1">
      <x:alignment horizontal="center" vertical="center"/>
    </x:xf>
    <x:xf numFmtId="204" fontId="6" fillId="10" borderId="1" xfId="0" applyNumberFormat="1" applyFont="1" applyFill="1" applyBorder="1" applyAlignment="1">
      <x:alignment horizontal="right" vertical="center"/>
    </x:xf>
    <x:xf numFmtId="202" fontId="5" fillId="10" borderId="1" xfId="0" applyNumberFormat="1" applyFont="1" applyFill="1" applyBorder="1" applyAlignment="1">
      <x:alignment horizontal="left" vertical="center"/>
    </x:xf>
    <x:xf numFmtId="202" fontId="38" fillId="10" borderId="1" xfId="0" applyNumberFormat="1" applyFont="1" applyFill="1" applyBorder="1" applyAlignment="1">
      <x:alignment horizontal="left" vertical="center"/>
    </x:xf>
    <x:xf numFmtId="204" fontId="39" fillId="10" borderId="1" xfId="0" applyNumberFormat="1" applyFont="1" applyFill="1" applyBorder="1" applyAlignment="1">
      <x:alignment horizontal="center" vertical="center"/>
    </x:xf>
    <x:xf numFmtId="204" fontId="39" fillId="10" borderId="1" xfId="0" applyNumberFormat="1" applyFont="1" applyFill="1" applyBorder="1" applyAlignment="1">
      <x:alignment horizontal="right" vertical="center"/>
    </x:xf>
    <x:xf numFmtId="202" fontId="38" fillId="16" borderId="1" xfId="0" applyNumberFormat="1" applyFont="1" applyFill="1" applyBorder="1" applyAlignment="1">
      <x:alignment horizontal="left" vertical="center"/>
    </x:xf>
    <x:xf numFmtId="204" fontId="39" fillId="16" borderId="1" xfId="0" applyNumberFormat="1" applyFont="1" applyFill="1" applyBorder="1" applyAlignment="1">
      <x:alignment horizontal="center" vertical="center"/>
    </x:xf>
    <x:xf numFmtId="204" fontId="39" fillId="16" borderId="1" xfId="0" applyNumberFormat="1" applyFont="1" applyFill="1" applyBorder="1" applyAlignment="1">
      <x:alignment horizontal="right" vertical="center"/>
    </x:xf>
    <x:xf numFmtId="0" fontId="6" fillId="8" borderId="0" xfId="0" applyNumberFormat="1" applyFont="1" applyFill="1" applyBorder="1" applyAlignment="1">
      <x:alignment vertical="center" wrapText="1"/>
    </x:xf>
    <x:xf numFmtId="0" fontId="40" fillId="10" borderId="6" xfId="0" applyNumberFormat="1" applyFont="1" applyFill="1" applyBorder="1" applyAlignment="1">
      <x:alignment horizontal="left" vertical="center" wrapText="1"/>
    </x:xf>
    <x:xf numFmtId="0" fontId="40" fillId="10" borderId="7" xfId="0" applyNumberFormat="1" applyFont="1" applyFill="1" applyBorder="1" applyAlignment="1">
      <x:alignment horizontal="left" vertical="center" wrapText="1"/>
    </x:xf>
    <x:xf numFmtId="0" fontId="40" fillId="10" borderId="8" xfId="0" applyNumberFormat="1" applyFont="1" applyFill="1" applyBorder="1" applyAlignment="1">
      <x:alignment horizontal="left" vertical="center" wrapText="1"/>
    </x:xf>
    <x:xf numFmtId="0" fontId="40" fillId="10" borderId="9" xfId="0" applyNumberFormat="1" applyFont="1" applyFill="1" applyBorder="1" applyAlignment="1">
      <x:alignment horizontal="left" vertical="center" wrapText="1"/>
    </x:xf>
    <x:xf numFmtId="0" fontId="40" fillId="10" borderId="0" xfId="0" applyNumberFormat="1" applyFont="1" applyFill="1" applyBorder="1" applyAlignment="1">
      <x:alignment horizontal="left" vertical="center" wrapText="1"/>
    </x:xf>
    <x:xf numFmtId="0" fontId="40" fillId="10" borderId="10" xfId="0" applyNumberFormat="1" applyFont="1" applyFill="1" applyBorder="1" applyAlignment="1">
      <x:alignment horizontal="left" vertical="center" wrapText="1"/>
    </x:xf>
    <x:xf numFmtId="0" fontId="40" fillId="10" borderId="11" xfId="0" applyNumberFormat="1" applyFont="1" applyFill="1" applyBorder="1" applyAlignment="1">
      <x:alignment horizontal="left" vertical="center" wrapText="1"/>
    </x:xf>
    <x:xf numFmtId="0" fontId="40" fillId="10" borderId="12" xfId="0" applyNumberFormat="1" applyFont="1" applyFill="1" applyBorder="1" applyAlignment="1">
      <x:alignment horizontal="left" vertical="center" wrapText="1"/>
    </x:xf>
    <x:xf numFmtId="0" fontId="40" fillId="10" borderId="13" xfId="0" applyNumberFormat="1" applyFont="1" applyFill="1" applyBorder="1" applyAlignment="1">
      <x:alignment horizontal="left" vertical="center" wrapText="1"/>
    </x:xf>
    <x:xf numFmtId="0" fontId="40" fillId="8" borderId="0" xfId="0" applyNumberFormat="1" applyFont="1" applyFill="1" applyBorder="1" applyAlignment="1">
      <x:alignment vertical="center" wrapText="1"/>
    </x:xf>
    <x:xf numFmtId="0" fontId="41" fillId="9" borderId="6" xfId="0" applyNumberFormat="1" applyFont="1" applyFill="1" applyBorder="1" applyAlignment="1">
      <x:alignment horizontal="left" vertical="center" wrapText="1"/>
    </x:xf>
    <x:xf numFmtId="0" fontId="41" fillId="9" borderId="7" xfId="0" applyNumberFormat="1" applyFont="1" applyFill="1" applyBorder="1" applyAlignment="1">
      <x:alignment horizontal="left" vertical="center" wrapText="1"/>
    </x:xf>
    <x:xf numFmtId="0" fontId="41" fillId="9" borderId="8" xfId="0" applyNumberFormat="1" applyFont="1" applyFill="1" applyBorder="1" applyAlignment="1">
      <x:alignment horizontal="left" vertical="center" wrapText="1"/>
    </x:xf>
    <x:xf numFmtId="0" fontId="41" fillId="9" borderId="9" xfId="0" applyNumberFormat="1" applyFont="1" applyFill="1" applyBorder="1" applyAlignment="1">
      <x:alignment horizontal="left" vertical="center" wrapText="1"/>
    </x:xf>
    <x:xf numFmtId="0" fontId="41" fillId="9" borderId="0" xfId="0" applyNumberFormat="1" applyFont="1" applyFill="1" applyBorder="1" applyAlignment="1">
      <x:alignment horizontal="left" vertical="center" wrapText="1"/>
    </x:xf>
    <x:xf numFmtId="0" fontId="41" fillId="9" borderId="10" xfId="0" applyNumberFormat="1" applyFont="1" applyFill="1" applyBorder="1" applyAlignment="1">
      <x:alignment horizontal="left" vertical="center" wrapText="1"/>
    </x:xf>
    <x:xf numFmtId="0" fontId="41" fillId="9" borderId="11" xfId="0" applyNumberFormat="1" applyFont="1" applyFill="1" applyBorder="1" applyAlignment="1">
      <x:alignment horizontal="left" vertical="center" wrapText="1"/>
    </x:xf>
    <x:xf numFmtId="0" fontId="41" fillId="9" borderId="12" xfId="0" applyNumberFormat="1" applyFont="1" applyFill="1" applyBorder="1" applyAlignment="1">
      <x:alignment horizontal="left" vertical="center" wrapText="1"/>
    </x:xf>
    <x:xf numFmtId="0" fontId="41" fillId="9" borderId="1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5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be4daafd3471c" /><Relationship Type="http://schemas.openxmlformats.org/officeDocument/2006/relationships/theme" Target="/xl/theme/theme1.xml" Id="R276e8a6b330741e3" /><Relationship Type="http://schemas.openxmlformats.org/officeDocument/2006/relationships/sharedStrings" Target="/xl/sharedStrings.xml" Id="Re169fbff4f224293" /><Relationship Type="http://schemas.openxmlformats.org/officeDocument/2006/relationships/worksheet" Target="/xl/worksheets/sheet1.xml" Id="R2ea0b15fcb874211" /><Relationship Type="http://schemas.openxmlformats.org/officeDocument/2006/relationships/worksheet" Target="/xl/worksheets/sheet2.xml" Id="Ra163494918ba4d4f" /><Relationship Type="http://schemas.openxmlformats.org/officeDocument/2006/relationships/worksheet" Target="/xl/worksheets/sheet3.xml" Id="R735675435a914fd0" /><Relationship Type="http://schemas.openxmlformats.org/officeDocument/2006/relationships/worksheet" Target="/xl/worksheets/sheet4.xml" Id="R646f46c703e041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549d7542d94621" /><Relationship Type="http://schemas.openxmlformats.org/officeDocument/2006/relationships/chart" Target="/xl/drawings/charts/chart2.xml" Id="R4e3e5036b1b44c52" /><Relationship Type="http://schemas.openxmlformats.org/officeDocument/2006/relationships/chart" Target="/xl/drawings/charts/chart3.xml" Id="Rdeb08febcaef4741" /><Relationship Type="http://schemas.openxmlformats.org/officeDocument/2006/relationships/chart" Target="/xl/drawings/charts/chart4.xml" Id="R162a8a918b814509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الملف وFlow — وحدة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v>ملف الافتتاحي</c:v>
          </c:tx>
          <c:spPr>
            <a:ln xmlns:a="http://schemas.openxmlformats.org/drawingml/2006/main" w="19050">
              <a:solidFill>
                <a:srgbClr val="34CEF3"/>
              </a:solidFill>
            </a:ln>
          </c:spPr>
          <c:marker>
            <c:symbol val="none"/>
          </c:marker>
          <c:cat>
            <c:strRef>
              <c:f>'_Chart Helpers'!$H$2:$H$9</c:f>
              <c:strCache>
                <c:ptCount val="0"/>
              </c:strCache>
            </c:strRef>
          </c:cat>
          <c:val>
            <c:numRef>
              <c:f>'_Chart Helpers'!$I$2:$I$9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Flow</c:v>
          </c:tx>
          <c:spPr>
            <a:ln xmlns:a="http://schemas.openxmlformats.org/drawingml/2006/main" w="19050">
              <a:solidFill>
                <a:srgbClr val="FFD166"/>
              </a:solidFill>
              <a:prstDash val="dash"/>
            </a:ln>
          </c:spPr>
          <c:marker>
            <c:symbol val="none"/>
          </c:marker>
          <c:cat>
            <c:strRef>
              <c:f>'_Chart Helpers'!$H$2:$H$9</c:f>
              <c:strCache>
                <c:ptCount val="0"/>
              </c:strCache>
            </c:strRef>
          </c:cat>
          <c:val>
            <c:numRef>
              <c:f>'_Chart Helpers'!$J$2:$J$9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038433"/>
        <c:axId val="982302182"/>
      </c:lineChart>
      <c:catAx>
        <c:axId val="571038433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982302182"/>
        <c:crosses val="autoZero"/>
        <c:lblOffset val="100"/>
      </c:catAx>
      <c:valAx>
        <c:axId val="98230218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571038433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قيمة الافتتاحي من ملفك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v>قيمة الافتتاحي</c:v>
          </c:tx>
          <c:spPr>
            <a:solidFill xmlns:a="http://schemas.openxmlformats.org/drawingml/2006/main">
              <a:srgbClr val="34CEF3"/>
            </a:solidFill>
          </c:spPr>
          <c:cat>
            <c:strRef>
              <c:f>'_Chart Helpers'!$L$2:$L$9</c:f>
              <c:strCache>
                <c:ptCount val="0"/>
              </c:strCache>
            </c:strRef>
          </c:cat>
          <c:val>
            <c:numRef>
              <c:f>'_Chart Helpers'!$M$2:$M$9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62807"/>
        <c:axId val="1313677059"/>
      </c:barChart>
      <c:catAx>
        <c:axId val="376762807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313677059"/>
        <c:crosses val="autoZero"/>
        <c:lblOffset val="100"/>
      </c:catAx>
      <c:valAx>
        <c:axId val="1313677059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376762807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سطور الافتتاحي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1"/>
        <c:ser>
          <c:idx val="0"/>
          <c:order val="0"/>
          <c:tx>
            <c:v>عدد السطور</c:v>
          </c:tx>
          <c:cat>
            <c:strRef>
              <c:f>'_Chart Helpers'!$P$2:$P$3</c:f>
              <c:strCache>
                <c:ptCount val="0"/>
              </c:strCache>
            </c:strRef>
          </c:cat>
          <c:val>
            <c:numRef>
              <c:f>'_Chart Helpers'!$Q$2:$Q$3</c:f>
              <c:numCache>
                <c:formatCode>#,##0;[Red]\(#,##0\);\-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2910587"/>
        <c:axId val="2009006557"/>
      </c:barChart>
      <c:catAx>
        <c:axId val="1442910587"/>
        <c:scaling>
          <c:orientation val="maxMin"/>
        </c:scaling>
        <c:delete val="0"/>
        <c:axPos val="l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2009006557"/>
        <c:crosses val="autoZero"/>
        <c:lblOffset val="100"/>
      </c:catAx>
      <c:valAx>
        <c:axId val="2009006557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442910587"/>
        <c:crosses val="max"/>
        <c:crossBetween val="between"/>
      </c:valAx>
      <c:spPr>
        <a:solidFill xmlns:a="http://schemas.openxmlformats.org/drawingml/2006/main">
          <a:srgbClr val="16212C"/>
        </a:solidFill>
      </c:spPr>
    </c:plotArea>
    <c:plotVisOnly val="1"/>
  </c:chart>
  <c:spPr>
    <a:solidFill xmlns:a="http://schemas.openxmlformats.org/drawingml/2006/main">
      <a:srgbClr val="16212C"/>
    </a:solidFill>
  </c:spPr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الوحدات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pieChart>
        <c:ser>
          <c:idx val="0"/>
          <c:order val="0"/>
          <c:tx>
            <c:v>الكمية</c:v>
          </c:tx>
          <c:cat>
            <c:strRef>
              <c:f>'_Chart Helpers'!$S$2:$S$3</c:f>
              <c:strCache>
                <c:ptCount val="0"/>
              </c:strCache>
            </c:strRef>
          </c:cat>
          <c:val>
            <c:numRef>
              <c:f>'_Chart Helpers'!$T$2:$T$3</c:f>
              <c:numCache>
                <c:formatCode>\$#,##0;[Red]\(\$#,##0\);\-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549d7542d9462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3e5036b1b44c5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b08febcaef474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2a8a918b81450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644c065cf649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20" style="27" customWidth="1"/>
    <x:col min="3" max="5" width="11" style="27" customWidth="1"/>
    <x:col min="6" max="17" width="13" style="27" customWidth="1"/>
    <x:col min="18" max="16384" width="8.83203125" style="27" customWidth="0"/>
  </x:cols>
  <x:sheetData>
    <x:row r="2" ht="24" customHeight="1">
      <x:c r="B2" s="89" t="str">
        <x:v>CMC | مخزون المقطم ١</x:v>
      </x:c>
      <x:c r="C2" s="89"/>
      <x:c r="D2" s="89"/>
      <x:c r="E2" s="89"/>
      <x:c r="F2" s="89"/>
      <x:c r="G2" s="89"/>
      <x:c r="H2" s="89"/>
      <x:c r="I2" s="89"/>
      <x:c r="J2" s="90" t="str">
        <x:v>تاريخ الرصيد</x:v>
      </x:c>
      <x:c r="K2" s="91"/>
      <x:c r="L2" s="91"/>
      <x:c r="M2" s="92"/>
      <x:c r="N2" s="90" t="str">
        <x:v>حالة العمل</x:v>
      </x:c>
      <x:c r="O2" s="91"/>
      <x:c r="P2" s="91"/>
      <x:c r="Q2" s="92"/>
    </x:row>
    <x:row r="3" ht="24" customHeight="1">
      <x:c r="B3" s="93" t="str">
        <x:v>الافتتاحي — المرحلة الأولى</x:v>
      </x:c>
      <x:c r="C3" s="93"/>
      <x:c r="D3" s="93"/>
      <x:c r="E3" s="93"/>
      <x:c r="F3" s="93"/>
      <x:c r="G3" s="93"/>
      <x:c r="H3" s="93"/>
      <x:c r="I3" s="93"/>
      <x:c r="J3" s="43" t="str">
        <x:v>٣١ ديسمبر ٢٠٢٥</x:v>
      </x:c>
      <x:c r="K3" s="44"/>
      <x:c r="L3" s="44"/>
      <x:c r="M3" s="45"/>
      <x:c r="N3" s="43" t="str">
        <x:v>الافتتاحي فقط</x:v>
      </x:c>
      <x:c r="O3" s="44"/>
      <x:c r="P3" s="44"/>
      <x:c r="Q3" s="45"/>
    </x:row>
    <x:row r="4" ht="20" customHeight="1">
      <x:c r="B4" s="94" t="str">
        <x:v>المقطم ١ فقط | التكلفة من ملف الافتتاحي؛ Flow للمطابقة الكمية</x:v>
      </x:c>
      <x:c r="C4" s="94"/>
      <x:c r="D4" s="94"/>
      <x:c r="E4" s="94"/>
      <x:c r="F4" s="94"/>
      <x:c r="G4" s="94"/>
      <x:c r="H4" s="94"/>
      <x:c r="I4" s="94"/>
      <x:c r="J4" s="94"/>
      <x:c r="K4" s="94"/>
      <x:c r="L4" s="94"/>
      <x:c r="M4" s="94"/>
      <x:c r="N4" s="94"/>
      <x:c r="O4" s="94"/>
      <x:c r="P4" s="94"/>
      <x:c r="Q4" s="94"/>
    </x:row>
    <x:row r="5" ht="20" customHeight="1">
      <x:c r="B5" s="95" t="str">
        <x:v>عدد الأصناف</x:v>
      </x:c>
      <x:c r="C5" s="96"/>
      <x:c r="D5" s="96"/>
      <x:c r="E5" s="97"/>
      <x:c r="F5" s="95" t="str">
        <x:v>إجمالي الوحدات</x:v>
      </x:c>
      <x:c r="G5" s="96"/>
      <x:c r="H5" s="96"/>
      <x:c r="I5" s="97"/>
      <x:c r="J5" s="95" t="str">
        <x:v>قيمة الافتتاحي</x:v>
      </x:c>
      <x:c r="K5" s="96"/>
      <x:c r="L5" s="96"/>
      <x:c r="M5" s="97"/>
      <x:c r="N5" s="95" t="str">
        <x:v>طبقات التكلفة</x:v>
      </x:c>
      <x:c r="O5" s="96"/>
      <x:c r="P5" s="96"/>
      <x:c r="Q5" s="97"/>
    </x:row>
    <x:row r="6" ht="27" customHeight="1">
      <x:c r="B6" s="346" t="n">
        <x:f>'_Chart Helpers'!B2</x:f>
        <x:v>41</x:v>
      </x:c>
      <x:c r="C6" s="98"/>
      <x:c r="D6" s="98"/>
      <x:c r="E6" s="52"/>
      <x:c r="F6" s="346" t="n">
        <x:f>'_Chart Helpers'!B3</x:f>
        <x:v>11347</x:v>
      </x:c>
      <x:c r="G6" s="98"/>
      <x:c r="H6" s="98"/>
      <x:c r="I6" s="52"/>
      <x:c r="J6" s="347" t="n">
        <x:f>'_Chart Helpers'!B4</x:f>
        <x:v>6592366.54</x:v>
      </x:c>
      <x:c r="K6" s="99"/>
      <x:c r="L6" s="99"/>
      <x:c r="M6" s="55"/>
      <x:c r="N6" s="346" t="n">
        <x:f>'_Chart Helpers'!B5</x:f>
        <x:v>43</x:v>
      </x:c>
      <x:c r="O6" s="99"/>
      <x:c r="P6" s="99"/>
      <x:c r="Q6" s="55"/>
    </x:row>
    <x:row r="7" ht="27" customHeight="1">
      <x:c r="B7" s="50"/>
      <x:c r="C7" s="98"/>
      <x:c r="D7" s="98"/>
      <x:c r="E7" s="52"/>
      <x:c r="F7" s="50"/>
      <x:c r="G7" s="98"/>
      <x:c r="H7" s="98"/>
      <x:c r="I7" s="52"/>
      <x:c r="J7" s="53"/>
      <x:c r="K7" s="99"/>
      <x:c r="L7" s="99"/>
      <x:c r="M7" s="55"/>
      <x:c r="N7" s="53"/>
      <x:c r="O7" s="99"/>
      <x:c r="P7" s="99"/>
      <x:c r="Q7" s="55"/>
    </x:row>
    <x:row r="8" ht="20" customHeight="1">
      <x:c r="B8" s="349" t="str">
        <x:v>٤١ صنفًا في المصدر</x:v>
      </x:c>
      <x:c r="C8" s="100"/>
      <x:c r="D8" s="15"/>
      <x:c r="E8" s="101"/>
      <x:c r="F8" s="349" t="str">
        <x:v>رصيد ٣١‑١٢‑٢٠٢٥</x:v>
      </x:c>
      <x:c r="G8" s="100"/>
      <x:c r="H8" s="15"/>
      <x:c r="I8" s="101"/>
      <x:c r="J8" s="349" t="str">
        <x:v>كمية × تكلفة الوحدة</x:v>
      </x:c>
      <x:c r="K8" s="100"/>
      <x:c r="L8" s="15"/>
      <x:c r="M8" s="101"/>
      <x:c r="N8" s="349" t="str">
        <x:v>السطر يمثل طبقة مستقلة</x:v>
      </x:c>
      <x:c r="O8" s="100"/>
      <x:c r="P8" s="15"/>
      <x:c r="Q8" s="101"/>
    </x:row>
    <x:row r="9">
      <x:c r="B9" s="102"/>
      <x:c r="C9" s="102"/>
      <x:c r="D9" s="102"/>
      <x:c r="E9" s="102"/>
      <x:c r="F9" s="102"/>
      <x:c r="G9" s="102"/>
      <x:c r="H9" s="102"/>
      <x:c r="I9" s="102"/>
      <x:c r="J9" s="102"/>
      <x:c r="K9" s="102"/>
      <x:c r="L9" s="102"/>
      <x:c r="M9" s="102"/>
      <x:c r="N9" s="102"/>
      <x:c r="O9" s="102"/>
      <x:c r="P9" s="102"/>
      <x:c r="Q9" s="102"/>
    </x:row>
    <x:row r="10" ht="20" customHeight="1">
      <x:c r="B10" s="95" t="str">
        <x:v>سطور بصلاحية</x:v>
      </x:c>
      <x:c r="C10" s="96"/>
      <x:c r="D10" s="96"/>
      <x:c r="E10" s="97"/>
      <x:c r="F10" s="95" t="str">
        <x:v>سطور بدون صلاحية</x:v>
      </x:c>
      <x:c r="G10" s="96"/>
      <x:c r="H10" s="96"/>
      <x:c r="I10" s="97"/>
      <x:c r="J10" s="95" t="str">
        <x:v>سطور بتكلفة صفر</x:v>
      </x:c>
      <x:c r="K10" s="96"/>
      <x:c r="L10" s="96"/>
      <x:c r="M10" s="97"/>
      <x:c r="N10" s="95" t="str">
        <x:v>أصناف بها فرق مع Flow</x:v>
      </x:c>
      <x:c r="O10" s="96"/>
      <x:c r="P10" s="96"/>
      <x:c r="Q10" s="97"/>
    </x:row>
    <x:row r="11" ht="27" customHeight="1">
      <x:c r="B11" s="346" t="n">
        <x:f>'_Chart Helpers'!B6</x:f>
        <x:v>31</x:v>
      </x:c>
      <x:c r="C11" s="103"/>
      <x:c r="D11" s="103"/>
      <x:c r="E11" s="80"/>
      <x:c r="F11" s="346" t="n">
        <x:f>'_Chart Helpers'!B7</x:f>
        <x:v>12</x:v>
      </x:c>
      <x:c r="G11" s="104"/>
      <x:c r="H11" s="104"/>
      <x:c r="I11" s="83"/>
      <x:c r="J11" s="346" t="n">
        <x:f>'_Chart Helpers'!B8</x:f>
        <x:v>1</x:v>
      </x:c>
      <x:c r="K11" s="99"/>
      <x:c r="L11" s="99"/>
      <x:c r="M11" s="55"/>
      <x:c r="N11" s="346" t="n">
        <x:f>'_Chart Helpers'!B9</x:f>
        <x:v>0</x:v>
      </x:c>
      <x:c r="O11" s="105"/>
      <x:c r="P11" s="105"/>
      <x:c r="Q11" s="77"/>
    </x:row>
    <x:row r="12" ht="27" customHeight="1">
      <x:c r="B12" s="78"/>
      <x:c r="C12" s="103"/>
      <x:c r="D12" s="103"/>
      <x:c r="E12" s="80"/>
      <x:c r="F12" s="81"/>
      <x:c r="G12" s="104"/>
      <x:c r="H12" s="104"/>
      <x:c r="I12" s="83"/>
      <x:c r="J12" s="53"/>
      <x:c r="K12" s="99"/>
      <x:c r="L12" s="99"/>
      <x:c r="M12" s="55"/>
      <x:c r="N12" s="75"/>
      <x:c r="O12" s="105"/>
      <x:c r="P12" s="105"/>
      <x:c r="Q12" s="77"/>
    </x:row>
    <x:row r="13" ht="20" customHeight="1">
      <x:c r="B13" s="349" t="str">
        <x:v>الدقة كما وردت بالمصدر</x:v>
      </x:c>
      <x:c r="C13" s="100"/>
      <x:c r="D13" s="15"/>
      <x:c r="E13" s="101"/>
      <x:c r="F13" s="349" t="str">
        <x:v>تظل الصلاحية فارغة</x:v>
      </x:c>
      <x:c r="G13" s="100"/>
      <x:c r="H13" s="15"/>
      <x:c r="I13" s="101"/>
      <x:c r="J13" s="349" t="str">
        <x:v>الكود ١٣٦ كما بالمصدر</x:v>
      </x:c>
      <x:c r="K13" s="100"/>
      <x:c r="L13" s="15"/>
      <x:c r="M13" s="101"/>
      <x:c r="N13" s="349" t="str">
        <x:v>فحص ١٠٦ أكواد</x:v>
      </x:c>
      <x:c r="O13" s="100"/>
      <x:c r="P13" s="15"/>
      <x:c r="Q13" s="101"/>
    </x:row>
    <x:row r="14">
      <x:c r="B14" s="102"/>
      <x:c r="C14" s="102"/>
      <x:c r="D14" s="102"/>
      <x:c r="E14" s="102"/>
      <x:c r="F14" s="102"/>
      <x:c r="G14" s="102"/>
      <x:c r="H14" s="102"/>
      <x:c r="I14" s="102"/>
      <x:c r="J14" s="102"/>
      <x:c r="K14" s="102"/>
      <x:c r="L14" s="102"/>
      <x:c r="M14" s="102"/>
      <x:c r="N14" s="102"/>
      <x:c r="O14" s="102"/>
      <x:c r="P14" s="102"/>
      <x:c r="Q14" s="102"/>
    </x:row>
    <x:row r="15" ht="22" customHeight="1">
      <x:c r="B15" s="106" t="str">
        <x:v>رصيد أكبر ٨ أصناف بالكمية</x:v>
      </x:c>
      <x:c r="C15" s="106"/>
      <x:c r="D15" s="106"/>
      <x:c r="E15" s="106"/>
      <x:c r="F15" s="106"/>
      <x:c r="G15" s="106"/>
      <x:c r="H15" s="106"/>
      <x:c r="I15" s="106"/>
      <x:c r="J15" s="106" t="str">
        <x:v>قيم الأصناف المعروضة</x:v>
      </x:c>
      <x:c r="K15" s="106"/>
      <x:c r="L15" s="106"/>
      <x:c r="M15" s="106"/>
      <x:c r="N15" s="106"/>
      <x:c r="O15" s="106"/>
      <x:c r="P15" s="106"/>
      <x:c r="Q15" s="106"/>
    </x:row>
    <x:row r="16">
      <x:c r="B16" s="102"/>
      <x:c r="C16" s="102"/>
      <x:c r="D16" s="102"/>
      <x:c r="E16" s="102"/>
      <x:c r="F16" s="102"/>
      <x:c r="G16" s="102"/>
      <x:c r="H16" s="102"/>
      <x:c r="I16" s="102"/>
      <x:c r="J16" s="102"/>
      <x:c r="K16" s="102"/>
      <x:c r="L16" s="102"/>
      <x:c r="M16" s="102"/>
      <x:c r="N16" s="102"/>
      <x:c r="O16" s="102"/>
      <x:c r="P16" s="102"/>
      <x:c r="Q16" s="102"/>
    </x:row>
    <x:row r="17"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2"/>
      <x:c r="M17" s="102"/>
      <x:c r="N17" s="102"/>
      <x:c r="O17" s="102"/>
      <x:c r="P17" s="102"/>
      <x:c r="Q17" s="102"/>
    </x:row>
    <x:row r="18">
      <x:c r="B18" s="102"/>
      <x:c r="C18" s="102"/>
      <x:c r="D18" s="102"/>
      <x:c r="E18" s="102"/>
      <x:c r="F18" s="102"/>
      <x:c r="G18" s="102"/>
      <x:c r="H18" s="102"/>
      <x:c r="I18" s="102"/>
      <x:c r="J18" s="102"/>
      <x:c r="K18" s="102"/>
      <x:c r="L18" s="102"/>
      <x:c r="M18" s="102"/>
      <x:c r="N18" s="102"/>
      <x:c r="O18" s="102"/>
      <x:c r="P18" s="102"/>
      <x:c r="Q18" s="102"/>
    </x:row>
    <x:row r="19"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 s="102"/>
      <x:c r="P19" s="102"/>
      <x:c r="Q19" s="102"/>
    </x:row>
    <x:row r="20">
      <x:c r="B20" s="102"/>
      <x:c r="C20" s="102"/>
      <x:c r="D20" s="102"/>
      <x:c r="E20" s="102"/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102"/>
    </x:row>
    <x:row r="21"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  <x:c r="O21" s="102"/>
      <x:c r="P21" s="102"/>
      <x:c r="Q21" s="102"/>
    </x:row>
    <x:row r="22"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 s="102"/>
      <x:c r="P22" s="102"/>
      <x:c r="Q22" s="102"/>
    </x:row>
    <x:row r="23"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 s="102"/>
      <x:c r="P23" s="102"/>
      <x:c r="Q23" s="102"/>
    </x:row>
    <x:row r="24"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 s="102"/>
      <x:c r="P24" s="102"/>
      <x:c r="Q24" s="102"/>
    </x:row>
    <x:row r="25"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  <x:c r="Q25" s="102"/>
    </x:row>
    <x:row r="26">
      <x:c r="B26" s="102"/>
      <x:c r="C26" s="102"/>
      <x:c r="D26" s="102"/>
      <x:c r="E26" s="102"/>
      <x:c r="F26" s="102"/>
      <x:c r="G26" s="102"/>
      <x:c r="H26" s="102"/>
      <x:c r="I26" s="102"/>
      <x:c r="J26" s="102"/>
      <x:c r="K26" s="102"/>
      <x:c r="L26" s="102"/>
      <x:c r="M26" s="102"/>
      <x:c r="N26" s="102"/>
      <x:c r="O26" s="102"/>
      <x:c r="P26" s="102"/>
      <x:c r="Q26" s="102"/>
    </x:row>
    <x:row r="27"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2"/>
      <x:c r="P27" s="102"/>
      <x:c r="Q27" s="102"/>
    </x:row>
    <x:row r="28"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 s="102"/>
      <x:c r="P28" s="102"/>
      <x:c r="Q28" s="102"/>
    </x:row>
    <x:row r="29" ht="22" customHeight="1">
      <x:c r="B29" s="106" t="str">
        <x:v>اكتمال الصلاحية — عدد السطور</x:v>
      </x:c>
      <x:c r="C29" s="106"/>
      <x:c r="D29" s="106"/>
      <x:c r="E29" s="106"/>
      <x:c r="F29" s="106"/>
      <x:c r="G29" s="106"/>
      <x:c r="H29" s="106"/>
      <x:c r="I29" s="106"/>
      <x:c r="J29" s="106" t="str">
        <x:v>توزيع الوحدات حسب توافر الصلاحية</x:v>
      </x:c>
      <x:c r="K29" s="106"/>
      <x:c r="L29" s="106"/>
      <x:c r="M29" s="106"/>
      <x:c r="N29" s="106"/>
      <x:c r="O29" s="106"/>
      <x:c r="P29" s="106"/>
      <x:c r="Q29" s="106"/>
    </x:row>
    <x:row r="30">
      <x:c r="B30" s="102"/>
      <x:c r="C30" s="102"/>
      <x:c r="D30" s="102"/>
      <x:c r="E30" s="102"/>
      <x:c r="F30" s="102"/>
      <x:c r="G30" s="102"/>
      <x:c r="H30" s="102"/>
      <x:c r="I30" s="102"/>
      <x:c r="J30" s="102"/>
      <x:c r="K30" s="102"/>
      <x:c r="L30" s="102"/>
      <x:c r="M30" s="102"/>
      <x:c r="N30" s="102"/>
      <x:c r="O30" s="102"/>
      <x:c r="P30" s="102"/>
      <x:c r="Q30" s="102"/>
    </x:row>
    <x:row r="31">
      <x:c r="B31" s="102"/>
      <x:c r="C31" s="102"/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2"/>
      <x:c r="P31" s="102"/>
      <x:c r="Q31" s="102"/>
    </x:row>
    <x:row r="32"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</x:row>
    <x:row r="33">
      <x:c r="B33" s="102"/>
      <x:c r="C33" s="102"/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</x:row>
    <x:row r="34">
      <x:c r="B34" s="102"/>
      <x:c r="C34" s="102"/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</x:row>
    <x:row r="35"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</x:row>
    <x:row r="36"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  <x:c r="M36" s="102"/>
      <x:c r="N36" s="102"/>
      <x:c r="O36" s="102"/>
      <x:c r="P36" s="102"/>
      <x:c r="Q36" s="102"/>
    </x:row>
    <x:row r="37"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  <x:c r="O37" s="102"/>
      <x:c r="P37" s="102"/>
      <x:c r="Q37" s="102"/>
    </x:row>
    <x:row r="38">
      <x:c r="B38" s="102"/>
      <x:c r="C38" s="102"/>
      <x:c r="D38" s="102"/>
      <x:c r="E38" s="102"/>
      <x:c r="F38" s="102"/>
      <x:c r="G38" s="102"/>
      <x:c r="H38" s="102"/>
      <x:c r="I38" s="102"/>
      <x:c r="J38" s="102"/>
      <x:c r="K38" s="102"/>
      <x:c r="L38" s="102"/>
      <x:c r="M38" s="102"/>
      <x:c r="N38" s="102"/>
      <x:c r="O38" s="102"/>
      <x:c r="P38" s="102"/>
      <x:c r="Q38" s="102"/>
    </x:row>
    <x:row r="39">
      <x:c r="B39" s="102"/>
      <x:c r="C39" s="102"/>
      <x:c r="D39" s="102"/>
      <x:c r="E39" s="102"/>
      <x:c r="F39" s="102"/>
      <x:c r="G39" s="102"/>
      <x:c r="H39" s="102"/>
      <x:c r="I39" s="102"/>
      <x:c r="J39" s="102"/>
      <x:c r="K39" s="102"/>
      <x:c r="L39" s="102"/>
      <x:c r="M39" s="102"/>
      <x:c r="N39" s="102"/>
      <x:c r="O39" s="102"/>
      <x:c r="P39" s="102"/>
      <x:c r="Q39" s="102"/>
    </x:row>
    <x:row r="40"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</x:row>
    <x:row r="41">
      <x:c r="B41" s="102"/>
      <x:c r="C41" s="102"/>
      <x:c r="D41" s="102"/>
      <x:c r="E41" s="102"/>
      <x:c r="F41" s="102"/>
      <x:c r="G41" s="102"/>
      <x:c r="H41" s="102"/>
      <x:c r="I41" s="102"/>
      <x:c r="J41" s="102"/>
      <x:c r="K41" s="102"/>
      <x:c r="L41" s="102"/>
      <x:c r="M41" s="102"/>
      <x:c r="N41" s="102"/>
      <x:c r="O41" s="102"/>
      <x:c r="P41" s="102"/>
      <x:c r="Q41" s="102"/>
    </x:row>
    <x:row r="42"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  <x:c r="Q42" s="102"/>
    </x:row>
    <x:row r="43" ht="22" customHeight="1">
      <x:c r="B43" s="106" t="str">
        <x:v>مراجعة أكبر ٨ أصناف بالكمية</x:v>
      </x:c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</x:row>
    <x:row r="44" ht="25" customHeight="1">
      <x:c r="B44" s="107" t="str">
        <x:v>الكود</x:v>
      </x:c>
      <x:c r="C44" s="107" t="str">
        <x:v>الملف</x:v>
      </x:c>
      <x:c r="D44" s="107" t="str">
        <x:v>Flow</x:v>
      </x:c>
      <x:c r="E44" s="107" t="str">
        <x:v>الفرق</x:v>
      </x:c>
      <x:c r="F44" s="107" t="str">
        <x:v>الصلاحية</x:v>
      </x:c>
      <x:c r="G44" s="107" t="str">
        <x:v>طبقات</x:v>
      </x:c>
      <x:c r="H44" s="107" t="str">
        <x:v>المطابقة</x:v>
      </x:c>
      <x:c r="I44" s="102"/>
      <x:c r="J44" s="102"/>
      <x:c r="K44" s="102"/>
      <x:c r="L44" s="102"/>
      <x:c r="M44" s="102"/>
      <x:c r="N44" s="102"/>
      <x:c r="O44" s="102"/>
      <x:c r="P44" s="102"/>
      <x:c r="Q44" s="102"/>
    </x:row>
    <x:row r="45" ht="25" customHeight="1">
      <x:c r="B45" s="357" t="str">
        <x:v>70</x:v>
      </x:c>
      <x:c r="C45" s="358" t="n">
        <x:f>'مطابقة الافتتاحي'!D36</x:f>
        <x:v>3083</x:v>
      </x:c>
      <x:c r="D45" s="359" t="n">
        <x:f>'مطابقة الافتتاحي'!G36</x:f>
        <x:v>3083</x:v>
      </x:c>
      <x:c r="E45" s="359" t="n">
        <x:f>C45-D45</x:f>
        <x:v>0</x:v>
      </x:c>
      <x:c r="F45" s="359" t="str">
        <x:f t="shared" ref="F45:F52" si="0">IF(COUNTIFS('Data &amp; Targets'!$C$16:$C$58,B45,'Data &amp; Targets'!$F$16:$F$58,"&lt;&gt;")=COUNTIFS('Data &amp; Targets'!$C$16:$C$58,B45),"موجودة","غير مكتملة")</x:f>
        <x:v>موجودة</x:v>
      </x:c>
      <x:c r="G45" s="359" t="n">
        <x:f t="shared" ref="G45:G52" si="1">COUNTIFS('Data &amp; Targets'!$C$16:$C$58,B45)</x:f>
        <x:v>2</x:v>
      </x:c>
      <x:c r="H45" s="358" t="str">
        <x:f>IF(E45=0,"مطابق","فرق")</x:f>
        <x:v>مطابق</x:v>
      </x:c>
      <x:c r="I45" s="102"/>
      <x:c r="J45" s="361" t="str">
        <x:v>المطابقة تشمل كل صنف، بما فيه الأصناف ذات الرصيد صفر. تكلفة الصنف ١٣٦ محفوظة بصفر كما وردت. جرد فبراير واختلاف صلاحية الكود ٧٠ سيُراجعان في المرحلة الثالثة.</x:v>
      </x:c>
      <x:c r="K45" s="362"/>
      <x:c r="L45" s="362"/>
      <x:c r="M45" s="362"/>
      <x:c r="N45" s="362"/>
      <x:c r="O45" s="362"/>
      <x:c r="P45" s="362"/>
      <x:c r="Q45" s="363"/>
    </x:row>
    <x:row r="46" ht="25" customHeight="1">
      <x:c r="B46" s="357" t="str">
        <x:v>144</x:v>
      </x:c>
      <x:c r="C46" s="358" t="n">
        <x:f>'مطابقة الافتتاحي'!D98</x:f>
        <x:v>1921</x:v>
      </x:c>
      <x:c r="D46" s="359" t="n">
        <x:f>'مطابقة الافتتاحي'!G98</x:f>
        <x:v>1921</x:v>
      </x:c>
      <x:c r="E46" s="359" t="n">
        <x:f>C46-D46</x:f>
        <x:v>0</x:v>
      </x:c>
      <x:c r="F46" s="359" t="str">
        <x:f t="shared" si="0">IF(COUNTIFS('Data &amp; Targets'!$C$16:$C$58,B46,'Data &amp; Targets'!$F$16:$F$58,"&lt;&gt;")=COUNTIFS('Data &amp; Targets'!$C$16:$C$58,B46),"موجودة","غير مكتملة")</x:f>
        <x:v>موجودة</x:v>
      </x:c>
      <x:c r="G46" s="359" t="n">
        <x:f t="shared" si="1">COUNTIFS('Data &amp; Targets'!$C$16:$C$58,B46)</x:f>
        <x:v>1</x:v>
      </x:c>
      <x:c r="H46" s="358" t="str">
        <x:f>IF(E46=0,"مطابق","فرق")</x:f>
        <x:v>مطابق</x:v>
      </x:c>
      <x:c r="I46" s="102"/>
      <x:c r="J46" s="364"/>
      <x:c r="K46" s="365"/>
      <x:c r="L46" s="365"/>
      <x:c r="M46" s="365"/>
      <x:c r="N46" s="365"/>
      <x:c r="O46" s="365"/>
      <x:c r="P46" s="365"/>
      <x:c r="Q46" s="366"/>
    </x:row>
    <x:row r="47" ht="25" customHeight="1">
      <x:c r="B47" s="357" t="str">
        <x:v>143</x:v>
      </x:c>
      <x:c r="C47" s="358" t="n">
        <x:f>'مطابقة الافتتاحي'!D97</x:f>
        <x:v>1651</x:v>
      </x:c>
      <x:c r="D47" s="359" t="n">
        <x:f>'مطابقة الافتتاحي'!G97</x:f>
        <x:v>1651</x:v>
      </x:c>
      <x:c r="E47" s="359" t="n">
        <x:f>C47-D47</x:f>
        <x:v>0</x:v>
      </x:c>
      <x:c r="F47" s="359" t="str">
        <x:f t="shared" si="0">IF(COUNTIFS('Data &amp; Targets'!$C$16:$C$58,B47,'Data &amp; Targets'!$F$16:$F$58,"&lt;&gt;")=COUNTIFS('Data &amp; Targets'!$C$16:$C$58,B47),"موجودة","غير مكتملة")</x:f>
        <x:v>موجودة</x:v>
      </x:c>
      <x:c r="G47" s="359" t="n">
        <x:f t="shared" si="1">COUNTIFS('Data &amp; Targets'!$C$16:$C$58,B47)</x:f>
        <x:v>1</x:v>
      </x:c>
      <x:c r="H47" s="358" t="str">
        <x:f>IF(E47=0,"مطابق","فرق")</x:f>
        <x:v>مطابق</x:v>
      </x:c>
      <x:c r="I47" s="102"/>
      <x:c r="J47" s="364"/>
      <x:c r="K47" s="365"/>
      <x:c r="L47" s="365"/>
      <x:c r="M47" s="365"/>
      <x:c r="N47" s="365"/>
      <x:c r="O47" s="365"/>
      <x:c r="P47" s="365"/>
      <x:c r="Q47" s="366"/>
    </x:row>
    <x:row r="48" ht="25" customHeight="1">
      <x:c r="B48" s="357" t="str">
        <x:v>142</x:v>
      </x:c>
      <x:c r="C48" s="358" t="n">
        <x:f>'مطابقة الافتتاحي'!D96</x:f>
        <x:v>1541</x:v>
      </x:c>
      <x:c r="D48" s="359" t="n">
        <x:f>'مطابقة الافتتاحي'!G96</x:f>
        <x:v>1541</x:v>
      </x:c>
      <x:c r="E48" s="359" t="n">
        <x:f>C48-D48</x:f>
        <x:v>0</x:v>
      </x:c>
      <x:c r="F48" s="359" t="str">
        <x:f t="shared" si="0">IF(COUNTIFS('Data &amp; Targets'!$C$16:$C$58,B48,'Data &amp; Targets'!$F$16:$F$58,"&lt;&gt;")=COUNTIFS('Data &amp; Targets'!$C$16:$C$58,B48),"موجودة","غير مكتملة")</x:f>
        <x:v>موجودة</x:v>
      </x:c>
      <x:c r="G48" s="359" t="n">
        <x:f t="shared" si="1">COUNTIFS('Data &amp; Targets'!$C$16:$C$58,B48)</x:f>
        <x:v>1</x:v>
      </x:c>
      <x:c r="H48" s="358" t="str">
        <x:f>IF(E48=0,"مطابق","فرق")</x:f>
        <x:v>مطابق</x:v>
      </x:c>
      <x:c r="I48" s="102"/>
      <x:c r="J48" s="367"/>
      <x:c r="K48" s="368"/>
      <x:c r="L48" s="368"/>
      <x:c r="M48" s="368"/>
      <x:c r="N48" s="368"/>
      <x:c r="O48" s="368"/>
      <x:c r="P48" s="368"/>
      <x:c r="Q48" s="369"/>
    </x:row>
    <x:row r="49" ht="25" customHeight="1">
      <x:c r="B49" s="357" t="str">
        <x:v>105</x:v>
      </x:c>
      <x:c r="C49" s="358" t="n">
        <x:f>'مطابقة الافتتاحي'!D59</x:f>
        <x:v>920</x:v>
      </x:c>
      <x:c r="D49" s="359" t="n">
        <x:f>'مطابقة الافتتاحي'!G59</x:f>
        <x:v>920</x:v>
      </x:c>
      <x:c r="E49" s="359" t="n">
        <x:f>C49-D49</x:f>
        <x:v>0</x:v>
      </x:c>
      <x:c r="F49" s="359" t="str">
        <x:f t="shared" si="0">IF(COUNTIFS('Data &amp; Targets'!$C$16:$C$58,B49,'Data &amp; Targets'!$F$16:$F$58,"&lt;&gt;")=COUNTIFS('Data &amp; Targets'!$C$16:$C$58,B49),"موجودة","غير مكتملة")</x:f>
        <x:v>غير مكتملة</x:v>
      </x:c>
      <x:c r="G49" s="359" t="n">
        <x:f t="shared" si="1">COUNTIFS('Data &amp; Targets'!$C$16:$C$58,B49)</x:f>
        <x:v>1</x:v>
      </x:c>
      <x:c r="H49" s="358" t="str">
        <x:f>IF(E49=0,"مطابق","فرق")</x:f>
        <x:v>مطابق</x:v>
      </x:c>
      <x:c r="I49" s="102"/>
      <x:c r="J49" s="370"/>
      <x:c r="K49" s="370"/>
      <x:c r="L49" s="370"/>
      <x:c r="M49" s="370"/>
      <x:c r="N49" s="370"/>
      <x:c r="O49" s="370"/>
      <x:c r="P49" s="370"/>
      <x:c r="Q49" s="370"/>
    </x:row>
    <x:row r="50" ht="25" customHeight="1">
      <x:c r="B50" s="357" t="str">
        <x:v>106</x:v>
      </x:c>
      <x:c r="C50" s="358" t="n">
        <x:f>'مطابقة الافتتاحي'!D60</x:f>
        <x:v>380</x:v>
      </x:c>
      <x:c r="D50" s="359" t="n">
        <x:f>'مطابقة الافتتاحي'!G60</x:f>
        <x:v>380</x:v>
      </x:c>
      <x:c r="E50" s="359" t="n">
        <x:f>C50-D50</x:f>
        <x:v>0</x:v>
      </x:c>
      <x:c r="F50" s="359" t="str">
        <x:f t="shared" si="0">IF(COUNTIFS('Data &amp; Targets'!$C$16:$C$58,B50,'Data &amp; Targets'!$F$16:$F$58,"&lt;&gt;")=COUNTIFS('Data &amp; Targets'!$C$16:$C$58,B50),"موجودة","غير مكتملة")</x:f>
        <x:v>غير مكتملة</x:v>
      </x:c>
      <x:c r="G50" s="359" t="n">
        <x:f t="shared" si="1">COUNTIFS('Data &amp; Targets'!$C$16:$C$58,B50)</x:f>
        <x:v>1</x:v>
      </x:c>
      <x:c r="H50" s="358" t="str">
        <x:f>IF(E50=0,"مطابق","فرق")</x:f>
        <x:v>مطابق</x:v>
      </x:c>
      <x:c r="I50" s="102"/>
      <x:c r="J50" s="371" t="str">
        <x:v>حركات يناير وفبراير وتكلفتها لم تدخل بعد. الانتقال للمرحلة الثانية بعد اعتماد الافتتاحي.</x:v>
      </x:c>
      <x:c r="K50" s="372"/>
      <x:c r="L50" s="372"/>
      <x:c r="M50" s="372"/>
      <x:c r="N50" s="372"/>
      <x:c r="O50" s="372"/>
      <x:c r="P50" s="372"/>
      <x:c r="Q50" s="373"/>
    </x:row>
    <x:row r="51" ht="25" customHeight="1">
      <x:c r="B51" s="357" t="str">
        <x:v>71</x:v>
      </x:c>
      <x:c r="C51" s="358" t="n">
        <x:f>'مطابقة الافتتاحي'!D37</x:f>
        <x:v>378</x:v>
      </x:c>
      <x:c r="D51" s="359" t="n">
        <x:f>'مطابقة الافتتاحي'!G37</x:f>
        <x:v>378</x:v>
      </x:c>
      <x:c r="E51" s="359" t="n">
        <x:f>C51-D51</x:f>
        <x:v>0</x:v>
      </x:c>
      <x:c r="F51" s="359" t="str">
        <x:f t="shared" si="0">IF(COUNTIFS('Data &amp; Targets'!$C$16:$C$58,B51,'Data &amp; Targets'!$F$16:$F$58,"&lt;&gt;")=COUNTIFS('Data &amp; Targets'!$C$16:$C$58,B51),"موجودة","غير مكتملة")</x:f>
        <x:v>موجودة</x:v>
      </x:c>
      <x:c r="G51" s="359" t="n">
        <x:f t="shared" si="1">COUNTIFS('Data &amp; Targets'!$C$16:$C$58,B51)</x:f>
        <x:v>1</x:v>
      </x:c>
      <x:c r="H51" s="358" t="str">
        <x:f>IF(E51=0,"مطابق","فرق")</x:f>
        <x:v>مطابق</x:v>
      </x:c>
      <x:c r="I51" s="102"/>
      <x:c r="J51" s="374"/>
      <x:c r="K51" s="375"/>
      <x:c r="L51" s="375"/>
      <x:c r="M51" s="375"/>
      <x:c r="N51" s="375"/>
      <x:c r="O51" s="375"/>
      <x:c r="P51" s="375"/>
      <x:c r="Q51" s="376"/>
    </x:row>
    <x:row r="52" ht="25" customHeight="1">
      <x:c r="B52" s="357" t="str">
        <x:v>75</x:v>
      </x:c>
      <x:c r="C52" s="358" t="n">
        <x:f>'مطابقة الافتتاحي'!D39</x:f>
        <x:v>276</x:v>
      </x:c>
      <x:c r="D52" s="359" t="n">
        <x:f>'مطابقة الافتتاحي'!G39</x:f>
        <x:v>276</x:v>
      </x:c>
      <x:c r="E52" s="359" t="n">
        <x:f>C52-D52</x:f>
        <x:v>0</x:v>
      </x:c>
      <x:c r="F52" s="359" t="str">
        <x:f t="shared" si="0">IF(COUNTIFS('Data &amp; Targets'!$C$16:$C$58,B52,'Data &amp; Targets'!$F$16:$F$58,"&lt;&gt;")=COUNTIFS('Data &amp; Targets'!$C$16:$C$58,B52),"موجودة","غير مكتملة")</x:f>
        <x:v>موجودة</x:v>
      </x:c>
      <x:c r="G52" s="359" t="n">
        <x:f t="shared" si="1">COUNTIFS('Data &amp; Targets'!$C$16:$C$58,B52)</x:f>
        <x:v>1</x:v>
      </x:c>
      <x:c r="H52" s="358" t="str">
        <x:f>IF(E52=0,"مطابق","فرق")</x:f>
        <x:v>مطابق</x:v>
      </x:c>
      <x:c r="I52" s="102"/>
      <x:c r="J52" s="377"/>
      <x:c r="K52" s="378"/>
      <x:c r="L52" s="378"/>
      <x:c r="M52" s="378"/>
      <x:c r="N52" s="378"/>
      <x:c r="O52" s="378"/>
      <x:c r="P52" s="378"/>
      <x:c r="Q52" s="379"/>
    </x:row>
    <x:row r="53"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  <x:mergeCell ref="B8:E8"/>
    <x:mergeCell ref="F8:I8"/>
    <x:mergeCell ref="J8:M8"/>
    <x:mergeCell ref="N8:Q8"/>
    <x:mergeCell ref="B13:E13"/>
    <x:mergeCell ref="F13:I13"/>
    <x:mergeCell ref="J13:M13"/>
    <x:mergeCell ref="N13:Q13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conditionalFormatting sqref="E45:E52">
    <x:cfRule type="cellIs" dxfId="4" priority="4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7f644c065cf649a6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5" topLeftCell="D16" activePane="bottomRight" state="frozen"/>
    </x:sheetView>
  </x:sheetViews>
  <x:sheetFormatPr baseColWidth="10" defaultColWidth="8.83203125" defaultRowHeight="14"/>
  <x:cols>
    <x:col min="1" max="1" width="3" style="27" hidden="0" customWidth="1"/>
    <x:col min="2" max="4" width="15" style="27" customWidth="1"/>
    <x:col min="5" max="5" width="13" style="27" hidden="0" customWidth="1"/>
    <x:col min="6" max="6" width="20" style="27" hidden="0" customWidth="1"/>
    <x:col min="7" max="8" width="15" style="27" customWidth="1"/>
    <x:col min="9" max="9" width="16" style="27" hidden="0" customWidth="1"/>
    <x:col min="10" max="10" width="19" style="27" hidden="0" customWidth="1"/>
    <x:col min="11" max="11" width="44" style="27" hidden="0" customWidth="1"/>
    <x:col min="12" max="15" width="16" style="27" customWidth="1"/>
    <x:col min="16" max="16" width="3" style="27" hidden="0" customWidth="1"/>
    <x:col min="17" max="16384" width="8.83203125" style="27" customWidth="0"/>
    <x:col min="2" max="2" width="12" hidden="0" customWidth="1"/>
    <x:col min="3" max="3" width="16" hidden="0" customWidth="1"/>
    <x:col min="4" max="4" width="57" hidden="0" customWidth="1"/>
    <x:col min="7" max="7" width="16" hidden="0" customWidth="1"/>
    <x:col min="8" max="8" width="20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</x:cols>
  <x:sheetData>
    <x:row r="2" ht="26" customHeight="1">
      <x:c r="B2" s="332" t="str">
        <x:v>CMC | مخزون المقطم ١</x:v>
      </x:c>
      <x:c r="C2" s="160"/>
      <x:c r="D2" s="160"/>
      <x:c r="E2" s="160"/>
      <x:c r="F2" s="160"/>
      <x:c r="G2" s="160"/>
      <x:c r="H2" s="160"/>
      <x:c r="I2" s="160"/>
      <x:c r="J2" s="160"/>
      <x:c r="K2" s="160"/>
      <x:c r="L2" s="160"/>
      <x:c r="M2" s="160"/>
      <x:c r="N2" s="160"/>
      <x:c r="O2" s="160"/>
      <x:c r="P2" s="160"/>
    </x:row>
    <x:row r="3" ht="26" customHeight="1">
      <x:c r="B3" s="161" t="str">
        <x:v>الافتتاحي — ٣١ ديسمبر ٢٠٢٥</x:v>
      </x:c>
      <x:c r="C3" s="160"/>
      <x:c r="D3" s="160"/>
      <x:c r="E3" s="160"/>
      <x:c r="F3" s="160"/>
      <x:c r="G3" s="160"/>
      <x:c r="H3" s="160"/>
      <x:c r="I3" s="160"/>
      <x:c r="J3" s="160"/>
      <x:c r="K3" s="160"/>
      <x:c r="L3" s="160"/>
      <x:c r="M3" s="160"/>
      <x:c r="N3" s="160"/>
      <x:c r="O3" s="160"/>
      <x:c r="P3" s="160"/>
    </x:row>
    <x:row r="4">
      <x:c r="B4" s="162"/>
      <x:c r="C4" s="162"/>
      <x:c r="D4" s="162"/>
      <x:c r="E4" s="162"/>
      <x:c r="F4" s="162"/>
      <x:c r="G4" s="162"/>
      <x:c r="H4" s="162"/>
      <x:c r="I4" s="162"/>
      <x:c r="J4" s="162"/>
      <x:c r="K4" s="162"/>
      <x:c r="L4" s="162"/>
      <x:c r="M4" s="162"/>
      <x:c r="N4" s="162"/>
      <x:c r="O4" s="162"/>
      <x:c r="P4" s="162"/>
    </x:row>
    <x:row r="5" ht="28" customHeight="1">
      <x:c r="B5" s="219" t="str">
        <x:v>مصدر الكمية والتكلفة: ملف الافتتاحي المعتمد</x:v>
      </x:c>
      <x:c r="C5" s="219"/>
      <x:c r="D5" s="219"/>
      <x:c r="E5" s="219"/>
      <x:c r="F5" s="219"/>
      <x:c r="G5" s="219"/>
      <x:c r="H5" s="219"/>
      <x:c r="I5" s="219"/>
      <x:c r="J5" s="219"/>
      <x:c r="K5" s="219"/>
      <x:c r="L5" s="219"/>
      <x:c r="M5" s="219"/>
      <x:c r="N5" s="219"/>
      <x:c r="O5" s="219"/>
      <x:c r="P5" s="219"/>
    </x:row>
    <x:row r="6" ht="28" customHeight="1">
      <x:c r="B6" s="220" t="str">
        <x:v>الصلاحية محفوظة كما وردت؛ 26-07 تعني يوليو 2026، دون افتراض يوم.</x:v>
      </x:c>
      <x:c r="C6" s="220"/>
      <x:c r="D6" s="220"/>
      <x:c r="E6" s="220"/>
      <x:c r="F6" s="220"/>
      <x:c r="G6" s="220"/>
      <x:c r="H6" s="220"/>
      <x:c r="I6" s="220"/>
      <x:c r="J6" s="220"/>
      <x:c r="K6" s="220"/>
      <x:c r="L6" s="220"/>
      <x:c r="M6" s="220"/>
      <x:c r="N6" s="220"/>
      <x:c r="O6" s="220"/>
      <x:c r="P6" s="220"/>
    </x:row>
    <x:row r="7" ht="28" customHeight="1">
      <x:c r="B7" s="220" t="str">
        <x:v>الكود ٧٠: دفعة ٨٨٠ أولًا ثم ٨٩٥، حسب اعتمادك. اللوطات غير موجودة في ملف الافتتاحي.</x:v>
      </x:c>
      <x:c r="C7" s="220"/>
      <x:c r="D7" s="220"/>
      <x:c r="E7" s="220"/>
      <x:c r="F7" s="220"/>
      <x:c r="G7" s="220"/>
      <x:c r="H7" s="220"/>
      <x:c r="I7" s="220"/>
      <x:c r="J7" s="220"/>
      <x:c r="K7" s="220"/>
      <x:c r="L7" s="220"/>
      <x:c r="M7" s="220"/>
      <x:c r="N7" s="220"/>
      <x:c r="O7" s="220"/>
      <x:c r="P7" s="220"/>
    </x:row>
    <x:row r="8">
      <x:c r="B8" s="162"/>
      <x:c r="C8" s="162"/>
      <x:c r="D8" s="162"/>
      <x:c r="E8" s="162"/>
      <x:c r="F8" s="162"/>
      <x:c r="G8" s="162"/>
      <x:c r="H8" s="162"/>
      <x:c r="I8" s="162"/>
      <x:c r="J8" s="162"/>
      <x:c r="K8" s="162"/>
      <x:c r="L8" s="162"/>
      <x:c r="M8" s="162"/>
      <x:c r="N8" s="162"/>
      <x:c r="O8" s="162"/>
      <x:c r="P8" s="162"/>
    </x:row>
    <x:row r="9">
      <x:c r="B9" s="165" t="str">
        <x:v>تاريخ الرصيد</x:v>
      </x:c>
      <x:c r="C9" s="166" t="str">
        <x:v>2025-12-31</x:v>
      </x:c>
      <x:c r="D9" s="162"/>
      <x:c r="E9" s="162"/>
      <x:c r="F9" s="162"/>
      <x:c r="G9" s="162"/>
      <x:c r="H9" s="162"/>
      <x:c r="I9" s="162"/>
      <x:c r="J9" s="162"/>
      <x:c r="K9" s="162"/>
      <x:c r="L9" s="162"/>
      <x:c r="M9" s="162"/>
      <x:c r="N9" s="162"/>
      <x:c r="O9" s="162"/>
      <x:c r="P9" s="162"/>
    </x:row>
    <x:row r="10" ht="26">
      <x:c r="B10" s="165" t="str">
        <x:v>المخزن</x:v>
      </x:c>
      <x:c r="C10" s="167" t="str">
        <x:v>المقطم ١</x:v>
      </x:c>
      <x:c r="D10" s="162"/>
      <x:c r="E10" s="162"/>
      <x:c r="F10" s="162"/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</x:row>
    <x:row r="11" ht="28" customHeight="1">
      <x:c r="B11" s="221" t="str">
        <x:v>المصدر</x:v>
      </x:c>
      <x:c r="C11" s="220" t="str">
        <x:v>Opening balance 2026.csv | التكلفة من الملف فقط</x:v>
      </x:c>
      <x:c r="D11" s="220"/>
      <x:c r="E11" s="220"/>
      <x:c r="F11" s="220"/>
      <x:c r="G11" s="220"/>
      <x:c r="H11" s="220"/>
      <x:c r="I11" s="220"/>
      <x:c r="J11" s="220"/>
      <x:c r="K11" s="220"/>
      <x:c r="L11" s="220"/>
      <x:c r="M11" s="220"/>
      <x:c r="N11" s="220"/>
      <x:c r="O11" s="220"/>
      <x:c r="P11" s="220"/>
    </x:row>
    <x:row r="12">
      <x:c r="B12" s="162"/>
      <x:c r="C12" s="162"/>
      <x:c r="D12" s="162"/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</x:row>
    <x:row r="13" ht="28" customHeight="1">
      <x:c r="B13" s="219" t="str">
        <x:v>تفاصيل الافتتاحي — ٤٣ طبقة تكلفة</x:v>
      </x:c>
      <x:c r="C13" s="219"/>
      <x:c r="D13" s="219"/>
      <x:c r="E13" s="219"/>
      <x:c r="F13" s="219"/>
      <x:c r="G13" s="219"/>
      <x:c r="H13" s="219"/>
      <x:c r="I13" s="219"/>
      <x:c r="J13" s="219"/>
      <x:c r="K13" s="219"/>
      <x:c r="L13" s="219"/>
      <x:c r="M13" s="219"/>
      <x:c r="N13" s="219"/>
      <x:c r="O13" s="219"/>
      <x:c r="P13" s="219"/>
    </x:row>
    <x:row r="14">
      <x:c r="B14" s="192"/>
      <x:c r="C14" s="193"/>
      <x:c r="D14" s="193"/>
      <x:c r="E14" s="193"/>
      <x:c r="F14" s="193"/>
      <x:c r="G14" s="193"/>
      <x:c r="H14" s="193"/>
      <x:c r="I14" s="193"/>
      <x:c r="J14" s="193"/>
      <x:c r="K14" s="193"/>
      <x:c r="L14" s="193"/>
      <x:c r="M14" s="193"/>
      <x:c r="N14" s="193"/>
      <x:c r="O14" s="193"/>
      <x:c r="P14" s="194"/>
    </x:row>
    <x:row r="15" ht="34" customHeight="1">
      <x:c r="B15" s="326" t="str">
        <x:v>سطر المصدر</x:v>
      </x:c>
      <x:c r="C15" s="327" t="str">
        <x:v>كود الصنف</x:v>
      </x:c>
      <x:c r="D15" s="327" t="str">
        <x:v>اسم الصنف</x:v>
      </x:c>
      <x:c r="E15" s="327" t="str">
        <x:v>الكمية</x:v>
      </x:c>
      <x:c r="F15" s="327" t="str">
        <x:v>الصلاحية بالمصدر</x:v>
      </x:c>
      <x:c r="G15" s="327" t="str">
        <x:v>تكلفة الوحدة</x:v>
      </x:c>
      <x:c r="H15" s="327" t="str">
        <x:v>القيمة</x:v>
      </x:c>
      <x:c r="I15" s="327" t="str">
        <x:v>اللوط</x:v>
      </x:c>
      <x:c r="J15" s="327" t="str">
        <x:v>ترتيب الكود ٧٠</x:v>
      </x:c>
      <x:c r="K15" s="327" t="str">
        <x:v>ملاحظة</x:v>
      </x:c>
      <x:c r="L15" s="196"/>
      <x:c r="M15" s="196"/>
      <x:c r="N15" s="196"/>
      <x:c r="O15" s="196"/>
      <x:c r="P15" s="197"/>
    </x:row>
    <x:row r="16" ht="34" customHeight="1">
      <x:c r="B16" s="249" t="n">
        <x:v>2</x:v>
      </x:c>
      <x:c r="C16" s="265" t="str">
        <x:v>100</x:v>
      </x:c>
      <x:c r="D16" s="328" t="str">
        <x:v>Surg-Spon Hemostatic Powder 1g</x:v>
      </x:c>
      <x:c r="E16" s="311" t="n">
        <x:v>203</x:v>
      </x:c>
      <x:c r="F16" s="280" t="str">
        <x:v>26-07</x:v>
      </x:c>
      <x:c r="G16" s="298" t="n">
        <x:v>425</x:v>
      </x:c>
      <x:c r="H16" s="299" t="n">
        <x:f>E16*G16</x:f>
        <x:v>86275</x:v>
      </x:c>
      <x:c r="I16" s="294"/>
      <x:c r="J16" s="250"/>
      <x:c r="K16" s="328"/>
      <x:c r="L16" s="200"/>
      <x:c r="M16" s="200"/>
      <x:c r="N16" s="201"/>
      <x:c r="O16" s="202"/>
      <x:c r="P16" s="203"/>
    </x:row>
    <x:row r="17" ht="34" customHeight="1">
      <x:c r="B17" s="249" t="n">
        <x:v>3</x:v>
      </x:c>
      <x:c r="C17" s="265" t="str">
        <x:v>101</x:v>
      </x:c>
      <x:c r="D17" s="328" t="str">
        <x:v>Powered endoscopic stapler 60mm</x:v>
      </x:c>
      <x:c r="E17" s="311" t="n">
        <x:v>7</x:v>
      </x:c>
      <x:c r="F17" s="280"/>
      <x:c r="G17" s="298" t="n">
        <x:v>12500</x:v>
      </x:c>
      <x:c r="H17" s="299" t="n">
        <x:f>E17*G17</x:f>
        <x:v>87500</x:v>
      </x:c>
      <x:c r="I17" s="294"/>
      <x:c r="J17" s="250"/>
      <x:c r="K17" s="328"/>
      <x:c r="L17" s="200"/>
      <x:c r="M17" s="200"/>
      <x:c r="N17" s="201"/>
      <x:c r="O17" s="202"/>
      <x:c r="P17" s="203"/>
    </x:row>
    <x:row r="18" ht="34" customHeight="1">
      <x:c r="B18" s="249" t="n">
        <x:v>4</x:v>
      </x:c>
      <x:c r="C18" s="265" t="str">
        <x:v>102</x:v>
      </x:c>
      <x:c r="D18" s="328" t="str">
        <x:v>Surg-Spon Hemostatic Powder 3g</x:v>
      </x:c>
      <x:c r="E18" s="311" t="n">
        <x:v>59</x:v>
      </x:c>
      <x:c r="F18" s="280" t="str">
        <x:v>26-07</x:v>
      </x:c>
      <x:c r="G18" s="298" t="n">
        <x:v>975</x:v>
      </x:c>
      <x:c r="H18" s="299" t="n">
        <x:f>E18*G18</x:f>
        <x:v>57525</x:v>
      </x:c>
      <x:c r="I18" s="294"/>
      <x:c r="J18" s="250"/>
      <x:c r="K18" s="328"/>
      <x:c r="L18" s="200"/>
      <x:c r="M18" s="200"/>
      <x:c r="N18" s="201"/>
      <x:c r="O18" s="202"/>
      <x:c r="P18" s="203"/>
    </x:row>
    <x:row r="19" ht="34" customHeight="1">
      <x:c r="B19" s="249" t="n">
        <x:v>5</x:v>
      </x:c>
      <x:c r="C19" s="265" t="str">
        <x:v>103</x:v>
      </x:c>
      <x:c r="D19" s="328" t="str">
        <x:v>Sterile Applcator 38m</x:v>
      </x:c>
      <x:c r="E19" s="311" t="n">
        <x:v>1</x:v>
      </x:c>
      <x:c r="F19" s="280" t="str">
        <x:v>26-09</x:v>
      </x:c>
      <x:c r="G19" s="298" t="n">
        <x:v>800</x:v>
      </x:c>
      <x:c r="H19" s="299" t="n">
        <x:f>E19*G19</x:f>
        <x:v>800</x:v>
      </x:c>
      <x:c r="I19" s="294"/>
      <x:c r="J19" s="250"/>
      <x:c r="K19" s="328"/>
      <x:c r="L19" s="200"/>
      <x:c r="M19" s="200"/>
      <x:c r="N19" s="201"/>
      <x:c r="O19" s="202"/>
      <x:c r="P19" s="203"/>
    </x:row>
    <x:row r="20" ht="34" customHeight="1">
      <x:c r="B20" s="249" t="n">
        <x:v>6</x:v>
      </x:c>
      <x:c r="C20" s="265" t="str">
        <x:v>103</x:v>
      </x:c>
      <x:c r="D20" s="328" t="str">
        <x:v>Sterile Applcator 38m</x:v>
      </x:c>
      <x:c r="E20" s="311" t="n">
        <x:v>1</x:v>
      </x:c>
      <x:c r="F20" s="280" t="str">
        <x:v>27-07</x:v>
      </x:c>
      <x:c r="G20" s="298" t="n">
        <x:v>800</x:v>
      </x:c>
      <x:c r="H20" s="299" t="n">
        <x:f>E20*G20</x:f>
        <x:v>800</x:v>
      </x:c>
      <x:c r="I20" s="294"/>
      <x:c r="J20" s="250"/>
      <x:c r="K20" s="328"/>
      <x:c r="L20" s="200"/>
      <x:c r="M20" s="200"/>
      <x:c r="N20" s="201"/>
      <x:c r="O20" s="202"/>
      <x:c r="P20" s="203"/>
    </x:row>
    <x:row r="21" ht="34" customHeight="1">
      <x:c r="B21" s="249" t="n">
        <x:v>7</x:v>
      </x:c>
      <x:c r="C21" s="265" t="str">
        <x:v>105</x:v>
      </x:c>
      <x:c r="D21" s="328" t="str">
        <x:v>Blue reload 60mm</x:v>
      </x:c>
      <x:c r="E21" s="311" t="n">
        <x:v>920</x:v>
      </x:c>
      <x:c r="F21" s="280"/>
      <x:c r="G21" s="298" t="n">
        <x:v>700</x:v>
      </x:c>
      <x:c r="H21" s="299" t="n">
        <x:f>E21*G21</x:f>
        <x:v>644000</x:v>
      </x:c>
      <x:c r="I21" s="294"/>
      <x:c r="J21" s="250"/>
      <x:c r="K21" s="328"/>
      <x:c r="L21" s="200"/>
      <x:c r="M21" s="200"/>
      <x:c r="N21" s="201"/>
      <x:c r="O21" s="202"/>
      <x:c r="P21" s="203"/>
    </x:row>
    <x:row r="22" ht="34" customHeight="1">
      <x:c r="B22" s="249" t="n">
        <x:v>8</x:v>
      </x:c>
      <x:c r="C22" s="265" t="str">
        <x:v>106</x:v>
      </x:c>
      <x:c r="D22" s="328" t="str">
        <x:v>Green reload 60mm</x:v>
      </x:c>
      <x:c r="E22" s="311" t="n">
        <x:v>380</x:v>
      </x:c>
      <x:c r="F22" s="280"/>
      <x:c r="G22" s="298" t="n">
        <x:v>700</x:v>
      </x:c>
      <x:c r="H22" s="299" t="n">
        <x:f>E22*G22</x:f>
        <x:v>266000</x:v>
      </x:c>
      <x:c r="I22" s="294"/>
      <x:c r="J22" s="250"/>
      <x:c r="K22" s="328"/>
      <x:c r="L22" s="200"/>
      <x:c r="M22" s="200"/>
      <x:c r="N22" s="201"/>
      <x:c r="O22" s="202"/>
      <x:c r="P22" s="203"/>
    </x:row>
    <x:row r="23" ht="34" customHeight="1">
      <x:c r="B23" s="249" t="n">
        <x:v>9</x:v>
      </x:c>
      <x:c r="C23" s="265" t="str">
        <x:v>107</x:v>
      </x:c>
      <x:c r="D23" s="328" t="str">
        <x:v>Gold reload 60mm</x:v>
      </x:c>
      <x:c r="E23" s="311" t="n">
        <x:v>193</x:v>
      </x:c>
      <x:c r="F23" s="280"/>
      <x:c r="G23" s="298" t="n">
        <x:v>700</x:v>
      </x:c>
      <x:c r="H23" s="299" t="n">
        <x:f>E23*G23</x:f>
        <x:v>135100</x:v>
      </x:c>
      <x:c r="I23" s="294"/>
      <x:c r="J23" s="250"/>
      <x:c r="K23" s="328"/>
      <x:c r="L23" s="200"/>
      <x:c r="M23" s="200"/>
      <x:c r="N23" s="201"/>
      <x:c r="O23" s="202"/>
      <x:c r="P23" s="203"/>
    </x:row>
    <x:row r="24" ht="34" customHeight="1">
      <x:c r="B24" s="249" t="n">
        <x:v>10</x:v>
      </x:c>
      <x:c r="C24" s="265" t="str">
        <x:v>108</x:v>
      </x:c>
      <x:c r="D24" s="328" t="str">
        <x:v>Black reload 60mm</x:v>
      </x:c>
      <x:c r="E24" s="311" t="n">
        <x:v>71</x:v>
      </x:c>
      <x:c r="F24" s="280"/>
      <x:c r="G24" s="298" t="n">
        <x:v>700</x:v>
      </x:c>
      <x:c r="H24" s="299" t="n">
        <x:f>E24*G24</x:f>
        <x:v>49700</x:v>
      </x:c>
      <x:c r="I24" s="294"/>
      <x:c r="J24" s="250"/>
      <x:c r="K24" s="328"/>
      <x:c r="L24" s="200"/>
      <x:c r="M24" s="200"/>
      <x:c r="N24" s="201"/>
      <x:c r="O24" s="202"/>
      <x:c r="P24" s="203"/>
    </x:row>
    <x:row r="25" ht="34" customHeight="1">
      <x:c r="B25" s="249" t="n">
        <x:v>11</x:v>
      </x:c>
      <x:c r="C25" s="265" t="str">
        <x:v>114</x:v>
      </x:c>
      <x:c r="D25" s="328" t="str">
        <x:v>EEG Paste ( Cream ) Elektro / 200 gr</x:v>
      </x:c>
      <x:c r="E25" s="311" t="n">
        <x:v>2</x:v>
      </x:c>
      <x:c r="F25" s="280" t="str">
        <x:v>27-07</x:v>
      </x:c>
      <x:c r="G25" s="298" t="n">
        <x:v>170</x:v>
      </x:c>
      <x:c r="H25" s="299" t="n">
        <x:f>E25*G25</x:f>
        <x:v>340</x:v>
      </x:c>
      <x:c r="I25" s="294"/>
      <x:c r="J25" s="250"/>
      <x:c r="K25" s="328"/>
      <x:c r="L25" s="200"/>
      <x:c r="M25" s="200"/>
      <x:c r="N25" s="201"/>
      <x:c r="O25" s="202"/>
      <x:c r="P25" s="203"/>
    </x:row>
    <x:row r="26" ht="34" customHeight="1">
      <x:c r="B26" s="249" t="n">
        <x:v>12</x:v>
      </x:c>
      <x:c r="C26" s="265" t="str">
        <x:v>118</x:v>
      </x:c>
      <x:c r="D26" s="328" t="str">
        <x:v>EEG Electrodes_PURE SILVER_1500mm  (Pack of 12)</x:v>
      </x:c>
      <x:c r="E26" s="311" t="n">
        <x:v>1</x:v>
      </x:c>
      <x:c r="F26" s="280"/>
      <x:c r="G26" s="298" t="n">
        <x:v>12000</x:v>
      </x:c>
      <x:c r="H26" s="299" t="n">
        <x:f>E26*G26</x:f>
        <x:v>12000</x:v>
      </x:c>
      <x:c r="I26" s="294"/>
      <x:c r="J26" s="250"/>
      <x:c r="K26" s="328"/>
      <x:c r="L26" s="200"/>
      <x:c r="M26" s="200"/>
      <x:c r="N26" s="201"/>
      <x:c r="O26" s="202"/>
      <x:c r="P26" s="203"/>
    </x:row>
    <x:row r="27" ht="34" customHeight="1">
      <x:c r="B27" s="249" t="n">
        <x:v>13</x:v>
      </x:c>
      <x:c r="C27" s="265" t="str">
        <x:v>125</x:v>
      </x:c>
      <x:c r="D27" s="328" t="str">
        <x:v>Skin Preparation Gel (Neuprep) 100 gr</x:v>
      </x:c>
      <x:c r="E27" s="311" t="n">
        <x:v>3</x:v>
      </x:c>
      <x:c r="F27" s="280" t="str">
        <x:v>27-01</x:v>
      </x:c>
      <x:c r="G27" s="298" t="n">
        <x:v>850</x:v>
      </x:c>
      <x:c r="H27" s="299" t="n">
        <x:f>E27*G27</x:f>
        <x:v>2550</x:v>
      </x:c>
      <x:c r="I27" s="294"/>
      <x:c r="J27" s="250"/>
      <x:c r="K27" s="328"/>
      <x:c r="L27" s="200"/>
      <x:c r="M27" s="200"/>
      <x:c r="N27" s="201"/>
      <x:c r="O27" s="202"/>
      <x:c r="P27" s="203"/>
    </x:row>
    <x:row r="28" ht="34" customHeight="1">
      <x:c r="B28" s="251" t="n">
        <x:v>14</x:v>
      </x:c>
      <x:c r="C28" s="266" t="str">
        <x:v>126</x:v>
      </x:c>
      <x:c r="D28" s="329" t="str">
        <x:v>Skin Preparation Gel (Neuprep)  150 gr</x:v>
      </x:c>
      <x:c r="E28" s="312" t="n">
        <x:v>5</x:v>
      </x:c>
      <x:c r="F28" s="282" t="str">
        <x:v>27-01</x:v>
      </x:c>
      <x:c r="G28" s="300" t="n">
        <x:v>1300</x:v>
      </x:c>
      <x:c r="H28" s="301" t="n">
        <x:f>E28*G28</x:f>
        <x:v>6500</x:v>
      </x:c>
      <x:c r="I28" s="295"/>
      <x:c r="J28" s="252"/>
      <x:c r="K28" s="329"/>
      <x:c r="L28" s="205"/>
      <x:c r="M28" s="205"/>
      <x:c r="N28" s="205"/>
      <x:c r="O28" s="205"/>
      <x:c r="P28" s="206"/>
    </x:row>
    <x:row r="29" ht="34" customHeight="1">
      <x:c r="B29" s="253" t="n">
        <x:v>15</x:v>
      </x:c>
      <x:c r="C29" s="267" t="str">
        <x:v>136</x:v>
      </x:c>
      <x:c r="D29" s="330" t="str">
        <x:v>EMG Needle holder</x:v>
      </x:c>
      <x:c r="E29" s="313" t="n">
        <x:v>1</x:v>
      </x:c>
      <x:c r="F29" s="282"/>
      <x:c r="G29" s="302" t="n">
        <x:v>0</x:v>
      </x:c>
      <x:c r="H29" s="303" t="n">
        <x:f>E29*G29</x:f>
        <x:v>0</x:v>
      </x:c>
      <x:c r="I29" s="296"/>
      <x:c r="J29" s="254"/>
      <x:c r="K29" s="329" t="str">
        <x:v>تكلفة صفر كما في المصدر</x:v>
      </x:c>
      <x:c r="L29" s="205"/>
      <x:c r="M29" s="205"/>
      <x:c r="N29" s="205"/>
      <x:c r="O29" s="205"/>
      <x:c r="P29" s="206"/>
    </x:row>
    <x:row r="30" ht="34" customHeight="1">
      <x:c r="B30" s="255" t="n">
        <x:v>16</x:v>
      </x:c>
      <x:c r="C30" s="268" t="str">
        <x:v>137</x:v>
      </x:c>
      <x:c r="D30" s="329" t="str">
        <x:v>Oryx EMG Needle 5 cm disposable for neurophysiology ( yellow)</x:v>
      </x:c>
      <x:c r="E30" s="312" t="n">
        <x:v>7</x:v>
      </x:c>
      <x:c r="F30" s="282" t="str">
        <x:v>27-12</x:v>
      </x:c>
      <x:c r="G30" s="304" t="n">
        <x:v>241</x:v>
      </x:c>
      <x:c r="H30" s="305" t="n">
        <x:f>E30*G30</x:f>
        <x:v>1687</x:v>
      </x:c>
      <x:c r="I30" s="295"/>
      <x:c r="J30" s="252"/>
      <x:c r="K30" s="329"/>
      <x:c r="L30" s="205"/>
      <x:c r="M30" s="205"/>
      <x:c r="N30" s="205"/>
      <x:c r="O30" s="205"/>
      <x:c r="P30" s="206"/>
    </x:row>
    <x:row r="31" ht="34" customHeight="1">
      <x:c r="B31" s="256" t="n">
        <x:v>17</x:v>
      </x:c>
      <x:c r="C31" s="265" t="str">
        <x:v>138</x:v>
      </x:c>
      <x:c r="D31" s="329" t="str">
        <x:v>Oryx EMG Needle 3.8 cm</x:v>
      </x:c>
      <x:c r="E31" s="312" t="n">
        <x:v>3</x:v>
      </x:c>
      <x:c r="F31" s="282" t="str">
        <x:v>27-12</x:v>
      </x:c>
      <x:c r="G31" s="306" t="n">
        <x:v>242.15</x:v>
      </x:c>
      <x:c r="H31" s="299" t="n">
        <x:f>E31*G31</x:f>
        <x:v>726.45</x:v>
      </x:c>
      <x:c r="I31" s="295"/>
      <x:c r="J31" s="252"/>
      <x:c r="K31" s="329"/>
      <x:c r="L31" s="205"/>
      <x:c r="M31" s="205"/>
      <x:c r="N31" s="205"/>
      <x:c r="O31" s="205"/>
      <x:c r="P31" s="206"/>
    </x:row>
    <x:row r="32" ht="34" customHeight="1">
      <x:c r="B32" s="256" t="n">
        <x:v>18</x:v>
      </x:c>
      <x:c r="C32" s="265" t="str">
        <x:v>139</x:v>
      </x:c>
      <x:c r="D32" s="329" t="str">
        <x:v>paste cream demo</x:v>
      </x:c>
      <x:c r="E32" s="312" t="n">
        <x:v>6</x:v>
      </x:c>
      <x:c r="F32" s="282" t="str">
        <x:v>27-07</x:v>
      </x:c>
      <x:c r="G32" s="306" t="n">
        <x:v>1</x:v>
      </x:c>
      <x:c r="H32" s="299" t="n">
        <x:f>E32*G32</x:f>
        <x:v>6</x:v>
      </x:c>
      <x:c r="I32" s="295"/>
      <x:c r="J32" s="252"/>
      <x:c r="K32" s="329"/>
      <x:c r="L32" s="205"/>
      <x:c r="M32" s="205"/>
      <x:c r="N32" s="205"/>
      <x:c r="O32" s="205"/>
      <x:c r="P32" s="206"/>
    </x:row>
    <x:row r="33" ht="34" customHeight="1">
      <x:c r="B33" s="256" t="n">
        <x:v>19</x:v>
      </x:c>
      <x:c r="C33" s="265" t="str">
        <x:v>141</x:v>
      </x:c>
      <x:c r="D33" s="329" t="str">
        <x:v>HEMO STATIC POWDER 2g</x:v>
      </x:c>
      <x:c r="E33" s="312" t="n">
        <x:v>33</x:v>
      </x:c>
      <x:c r="F33" s="282" t="str">
        <x:v>27-07</x:v>
      </x:c>
      <x:c r="G33" s="306" t="n">
        <x:v>775</x:v>
      </x:c>
      <x:c r="H33" s="299" t="n">
        <x:f>E33*G33</x:f>
        <x:v>25575</x:v>
      </x:c>
      <x:c r="I33" s="295"/>
      <x:c r="J33" s="252"/>
      <x:c r="K33" s="329"/>
      <x:c r="L33" s="205"/>
      <x:c r="M33" s="205"/>
      <x:c r="N33" s="205"/>
      <x:c r="O33" s="205"/>
      <x:c r="P33" s="206"/>
    </x:row>
    <x:row r="34" ht="34" customHeight="1">
      <x:c r="B34" s="256" t="n">
        <x:v>20</x:v>
      </x:c>
      <x:c r="C34" s="265" t="str">
        <x:v>142</x:v>
      </x:c>
      <x:c r="D34" s="329" t="str">
        <x:v>PCA 275/5 ML With button (Fornia)</x:v>
      </x:c>
      <x:c r="E34" s="312" t="n">
        <x:v>1541</x:v>
      </x:c>
      <x:c r="F34" s="282" t="str">
        <x:v>27-05</x:v>
      </x:c>
      <x:c r="G34" s="306" t="n">
        <x:v>385</x:v>
      </x:c>
      <x:c r="H34" s="299" t="n">
        <x:f>E34*G34</x:f>
        <x:v>593285</x:v>
      </x:c>
      <x:c r="I34" s="295"/>
      <x:c r="J34" s="252"/>
      <x:c r="K34" s="329"/>
      <x:c r="L34" s="205"/>
      <x:c r="M34" s="205"/>
      <x:c r="N34" s="205"/>
      <x:c r="O34" s="205"/>
      <x:c r="P34" s="206"/>
    </x:row>
    <x:row r="35" ht="34" customHeight="1">
      <x:c r="B35" s="256" t="n">
        <x:v>21</x:v>
      </x:c>
      <x:c r="C35" s="265" t="str">
        <x:v>143</x:v>
      </x:c>
      <x:c r="D35" s="329" t="str">
        <x:v>PCA 100/2 ML With button (Fornia)</x:v>
      </x:c>
      <x:c r="E35" s="312" t="n">
        <x:v>1651</x:v>
      </x:c>
      <x:c r="F35" s="282" t="str">
        <x:v>27-05</x:v>
      </x:c>
      <x:c r="G35" s="306" t="n">
        <x:v>335</x:v>
      </x:c>
      <x:c r="H35" s="307" t="n">
        <x:f>E35*G35</x:f>
        <x:v>553085</x:v>
      </x:c>
      <x:c r="I35" s="295"/>
      <x:c r="J35" s="252"/>
      <x:c r="K35" s="329"/>
      <x:c r="L35" s="205"/>
      <x:c r="M35" s="205"/>
      <x:c r="N35" s="205"/>
      <x:c r="O35" s="205"/>
      <x:c r="P35" s="206"/>
    </x:row>
    <x:row r="36" ht="34" customHeight="1">
      <x:c r="B36" s="257" t="n">
        <x:v>22</x:v>
      </x:c>
      <x:c r="C36" s="269" t="str">
        <x:v>144</x:v>
      </x:c>
      <x:c r="D36" s="331" t="str">
        <x:v>PCA 100/4 ML With button (Fornia)</x:v>
      </x:c>
      <x:c r="E36" s="314" t="n">
        <x:v>1921</x:v>
      </x:c>
      <x:c r="F36" s="287" t="str">
        <x:v>27-12</x:v>
      </x:c>
      <x:c r="G36" s="308" t="n">
        <x:v>335</x:v>
      </x:c>
      <x:c r="H36" s="309" t="n">
        <x:f>E36*G36</x:f>
        <x:v>643535</x:v>
      </x:c>
      <x:c r="I36" s="297"/>
      <x:c r="J36" s="258"/>
      <x:c r="K36" s="331"/>
      <x:c r="L36" s="214"/>
      <x:c r="M36" s="214"/>
      <x:c r="N36" s="214"/>
      <x:c r="O36" s="214"/>
      <x:c r="P36" s="215"/>
    </x:row>
    <x:row r="37" ht="34" customHeight="1">
      <x:c r="B37" s="257" t="n">
        <x:v>23</x:v>
      </x:c>
      <x:c r="C37" s="269" t="str">
        <x:v>113</x:v>
      </x:c>
      <x:c r="D37" s="331" t="str">
        <x:v>Panther black reload (CADA-60R5.0)</x:v>
      </x:c>
      <x:c r="E37" s="314" t="n">
        <x:v>1</x:v>
      </x:c>
      <x:c r="F37" s="287"/>
      <x:c r="G37" s="308" t="n">
        <x:v>1</x:v>
      </x:c>
      <x:c r="H37" s="309" t="n">
        <x:f>E37*G37</x:f>
        <x:v>1</x:v>
      </x:c>
      <x:c r="I37" s="297"/>
      <x:c r="J37" s="258"/>
      <x:c r="K37" s="331"/>
      <x:c r="L37" s="214"/>
      <x:c r="M37" s="214"/>
      <x:c r="N37" s="214"/>
      <x:c r="O37" s="214"/>
      <x:c r="P37" s="215"/>
    </x:row>
    <x:row r="38" ht="34" customHeight="1">
      <x:c r="B38" s="257" t="n">
        <x:v>24</x:v>
      </x:c>
      <x:c r="C38" s="269" t="str">
        <x:v>18</x:v>
      </x:c>
      <x:c r="D38" s="331" t="str">
        <x:v>Panther green reload 60mm</x:v>
      </x:c>
      <x:c r="E38" s="314" t="n">
        <x:v>3</x:v>
      </x:c>
      <x:c r="F38" s="287"/>
      <x:c r="G38" s="308" t="n">
        <x:v>900.33</x:v>
      </x:c>
      <x:c r="H38" s="309" t="n">
        <x:f>E38*G38</x:f>
        <x:v>2700.9900000000002</x:v>
      </x:c>
      <x:c r="I38" s="297"/>
      <x:c r="J38" s="258"/>
      <x:c r="K38" s="331"/>
      <x:c r="L38" s="214"/>
      <x:c r="M38" s="214"/>
      <x:c r="N38" s="214"/>
      <x:c r="O38" s="214"/>
      <x:c r="P38" s="215"/>
    </x:row>
    <x:row r="39" ht="34" customHeight="1">
      <x:c r="B39" s="257" t="n">
        <x:v>25</x:v>
      </x:c>
      <x:c r="C39" s="269" t="str">
        <x:v>39</x:v>
      </x:c>
      <x:c r="D39" s="331" t="str">
        <x:v>PCA 100/2ml without button(TUOREN)</x:v>
      </x:c>
      <x:c r="E39" s="314" t="n">
        <x:v>2</x:v>
      </x:c>
      <x:c r="F39" s="287" t="str">
        <x:v>28-06</x:v>
      </x:c>
      <x:c r="G39" s="308" t="n">
        <x:v>340</x:v>
      </x:c>
      <x:c r="H39" s="309" t="n">
        <x:f>E39*G39</x:f>
        <x:v>680</x:v>
      </x:c>
      <x:c r="I39" s="297"/>
      <x:c r="J39" s="258"/>
      <x:c r="K39" s="331"/>
      <x:c r="L39" s="214"/>
      <x:c r="M39" s="214"/>
      <x:c r="N39" s="214"/>
      <x:c r="O39" s="214"/>
      <x:c r="P39" s="215"/>
    </x:row>
    <x:row r="40" ht="34" customHeight="1">
      <x:c r="B40" s="257" t="n">
        <x:v>26</x:v>
      </x:c>
      <x:c r="C40" s="269" t="str">
        <x:v>5</x:v>
      </x:c>
      <x:c r="D40" s="331" t="str">
        <x:v>PCA100/4ML with button (TUOREN)</x:v>
      </x:c>
      <x:c r="E40" s="314" t="n">
        <x:v>15</x:v>
      </x:c>
      <x:c r="F40" s="287" t="str">
        <x:v>28-06</x:v>
      </x:c>
      <x:c r="G40" s="308" t="n">
        <x:v>382.6</x:v>
      </x:c>
      <x:c r="H40" s="309" t="n">
        <x:f>E40*G40</x:f>
        <x:v>5739</x:v>
      </x:c>
      <x:c r="I40" s="297"/>
      <x:c r="J40" s="258"/>
      <x:c r="K40" s="331"/>
      <x:c r="L40" s="214"/>
      <x:c r="M40" s="214"/>
      <x:c r="N40" s="214"/>
      <x:c r="O40" s="214"/>
      <x:c r="P40" s="215"/>
    </x:row>
    <x:row r="41" ht="34" customHeight="1">
      <x:c r="B41" s="257" t="n">
        <x:v>27</x:v>
      </x:c>
      <x:c r="C41" s="269" t="str">
        <x:v>52</x:v>
      </x:c>
      <x:c r="D41" s="331" t="str">
        <x:v>PCA300/2ml without button (TUOREN)</x:v>
      </x:c>
      <x:c r="E41" s="314" t="n">
        <x:v>58</x:v>
      </x:c>
      <x:c r="F41" s="287" t="str">
        <x:v>28-06</x:v>
      </x:c>
      <x:c r="G41" s="308" t="n">
        <x:v>420</x:v>
      </x:c>
      <x:c r="H41" s="309" t="n">
        <x:f>E41*G41</x:f>
        <x:v>24360</x:v>
      </x:c>
      <x:c r="I41" s="297"/>
      <x:c r="J41" s="258"/>
      <x:c r="K41" s="331"/>
      <x:c r="L41" s="214"/>
      <x:c r="M41" s="214"/>
      <x:c r="N41" s="214"/>
      <x:c r="O41" s="214"/>
      <x:c r="P41" s="215"/>
    </x:row>
    <x:row r="42" ht="34" customHeight="1">
      <x:c r="B42" s="257" t="n">
        <x:v>28</x:v>
      </x:c>
      <x:c r="C42" s="269" t="str">
        <x:v>72</x:v>
      </x:c>
      <x:c r="D42" s="331" t="str">
        <x:v>trocar 7-10mm unimicro</x:v>
      </x:c>
      <x:c r="E42" s="314" t="n">
        <x:v>104</x:v>
      </x:c>
      <x:c r="F42" s="287" t="str">
        <x:v>27-09</x:v>
      </x:c>
      <x:c r="G42" s="308" t="n">
        <x:v>760</x:v>
      </x:c>
      <x:c r="H42" s="309" t="n">
        <x:f>E42*G42</x:f>
        <x:v>79040</x:v>
      </x:c>
      <x:c r="I42" s="297"/>
      <x:c r="J42" s="258"/>
      <x:c r="K42" s="331"/>
      <x:c r="L42" s="214"/>
      <x:c r="M42" s="214"/>
      <x:c r="N42" s="214"/>
      <x:c r="O42" s="214"/>
      <x:c r="P42" s="215"/>
    </x:row>
    <x:row r="43" ht="34" customHeight="1">
      <x:c r="B43" s="257" t="n">
        <x:v>29</x:v>
      </x:c>
      <x:c r="C43" s="269" t="str">
        <x:v>75</x:v>
      </x:c>
      <x:c r="D43" s="331" t="str">
        <x:v>Exofin Topical Skin Adhesive 1g</x:v>
      </x:c>
      <x:c r="E43" s="314" t="n">
        <x:v>276</x:v>
      </x:c>
      <x:c r="F43" s="287" t="str">
        <x:v>26-11</x:v>
      </x:c>
      <x:c r="G43" s="308" t="n">
        <x:v>560</x:v>
      </x:c>
      <x:c r="H43" s="309" t="n">
        <x:f>E43*G43</x:f>
        <x:v>154560</x:v>
      </x:c>
      <x:c r="I43" s="297"/>
      <x:c r="J43" s="258"/>
      <x:c r="K43" s="331"/>
      <x:c r="L43" s="214"/>
      <x:c r="M43" s="214"/>
      <x:c r="N43" s="214"/>
      <x:c r="O43" s="214"/>
      <x:c r="P43" s="215"/>
    </x:row>
    <x:row r="44" ht="34" customHeight="1">
      <x:c r="B44" s="257" t="n">
        <x:v>30</x:v>
      </x:c>
      <x:c r="C44" s="269" t="str">
        <x:v>90</x:v>
      </x:c>
      <x:c r="D44" s="331" t="str">
        <x:v>cannula 7-10mm unimicro</x:v>
      </x:c>
      <x:c r="E44" s="314" t="n">
        <x:v>232</x:v>
      </x:c>
      <x:c r="F44" s="287" t="str">
        <x:v>27-09</x:v>
      </x:c>
      <x:c r="G44" s="308" t="n">
        <x:v>470</x:v>
      </x:c>
      <x:c r="H44" s="309" t="n">
        <x:f>E44*G44</x:f>
        <x:v>109040</x:v>
      </x:c>
      <x:c r="I44" s="297"/>
      <x:c r="J44" s="258"/>
      <x:c r="K44" s="331"/>
      <x:c r="L44" s="214"/>
      <x:c r="M44" s="214"/>
      <x:c r="N44" s="214"/>
      <x:c r="O44" s="214"/>
      <x:c r="P44" s="215"/>
    </x:row>
    <x:row r="45" ht="34" customHeight="1">
      <x:c r="B45" s="257" t="n">
        <x:v>31</x:v>
      </x:c>
      <x:c r="C45" s="269" t="str">
        <x:v>94</x:v>
      </x:c>
      <x:c r="D45" s="331" t="str">
        <x:v>trocar percion size 12mm</x:v>
      </x:c>
      <x:c r="E45" s="314" t="n">
        <x:v>128</x:v>
      </x:c>
      <x:c r="F45" s="287" t="str">
        <x:v>26-08</x:v>
      </x:c>
      <x:c r="G45" s="308" t="n">
        <x:v>600</x:v>
      </x:c>
      <x:c r="H45" s="309" t="n">
        <x:f>E45*G45</x:f>
        <x:v>76800</x:v>
      </x:c>
      <x:c r="I45" s="297"/>
      <x:c r="J45" s="258"/>
      <x:c r="K45" s="331"/>
      <x:c r="L45" s="214"/>
      <x:c r="M45" s="214"/>
      <x:c r="N45" s="214"/>
      <x:c r="O45" s="214"/>
      <x:c r="P45" s="215"/>
    </x:row>
    <x:row r="46" ht="34" customHeight="1">
      <x:c r="B46" s="257" t="n">
        <x:v>32</x:v>
      </x:c>
      <x:c r="C46" s="269" t="str">
        <x:v>QELC</x:v>
      </x:c>
      <x:c r="D46" s="331" t="str">
        <x:v>Universal Endoscopic linear cutting stapler and single use loading unit</x:v>
      </x:c>
      <x:c r="E46" s="314" t="n">
        <x:v>1</x:v>
      </x:c>
      <x:c r="F46" s="287" t="str">
        <x:v>26-11</x:v>
      </x:c>
      <x:c r="G46" s="308" t="n">
        <x:v>1</x:v>
      </x:c>
      <x:c r="H46" s="309" t="n">
        <x:f>E46*G46</x:f>
        <x:v>1</x:v>
      </x:c>
      <x:c r="I46" s="297"/>
      <x:c r="J46" s="258"/>
      <x:c r="K46" s="331"/>
      <x:c r="L46" s="214"/>
      <x:c r="M46" s="214"/>
      <x:c r="N46" s="214"/>
      <x:c r="O46" s="214"/>
      <x:c r="P46" s="215"/>
    </x:row>
    <x:row r="47" ht="34" customHeight="1">
      <x:c r="B47" s="257" t="n">
        <x:v>33</x:v>
      </x:c>
      <x:c r="C47" s="269" t="str">
        <x:v>QELC 6035B</x:v>
      </x:c>
      <x:c r="D47" s="331" t="str">
        <x:v>single use loading unit -60mm _3.5mm purple</x:v>
      </x:c>
      <x:c r="E47" s="314" t="n">
        <x:v>1</x:v>
      </x:c>
      <x:c r="F47" s="287" t="str">
        <x:v>26-10</x:v>
      </x:c>
      <x:c r="G47" s="308" t="n">
        <x:v>1</x:v>
      </x:c>
      <x:c r="H47" s="309" t="n">
        <x:f>E47*G47</x:f>
        <x:v>1</x:v>
      </x:c>
      <x:c r="I47" s="297"/>
      <x:c r="J47" s="258"/>
      <x:c r="K47" s="331"/>
      <x:c r="L47" s="214"/>
      <x:c r="M47" s="214"/>
      <x:c r="N47" s="214"/>
      <x:c r="O47" s="214"/>
      <x:c r="P47" s="215"/>
    </x:row>
    <x:row r="48" ht="34" customHeight="1">
      <x:c r="B48" s="257" t="n">
        <x:v>34</x:v>
      </x:c>
      <x:c r="C48" s="269" t="str">
        <x:v>SA-14</x:v>
      </x:c>
      <x:c r="D48" s="331" t="str">
        <x:v>Sterile Applcator 14cm for surgy Spong</x:v>
      </x:c>
      <x:c r="E48" s="314" t="n">
        <x:v>3</x:v>
      </x:c>
      <x:c r="F48" s="287" t="str">
        <x:v>27-07</x:v>
      </x:c>
      <x:c r="G48" s="308" t="n">
        <x:v>350</x:v>
      </x:c>
      <x:c r="H48" s="309" t="n">
        <x:f>E48*G48</x:f>
        <x:v>1050</x:v>
      </x:c>
      <x:c r="I48" s="297"/>
      <x:c r="J48" s="258"/>
      <x:c r="K48" s="331"/>
      <x:c r="L48" s="214"/>
      <x:c r="M48" s="214"/>
      <x:c r="N48" s="214"/>
      <x:c r="O48" s="214"/>
      <x:c r="P48" s="215"/>
    </x:row>
    <x:row r="49" ht="34" customHeight="1">
      <x:c r="B49" s="257" t="n">
        <x:v>35</x:v>
      </x:c>
      <x:c r="C49" s="269" t="str">
        <x:v>129</x:v>
      </x:c>
      <x:c r="D49" s="331" t="str">
        <x:v>Patient Ground_STRAP   (ONE CABLE)</x:v>
      </x:c>
      <x:c r="E49" s="314" t="n">
        <x:v>1</x:v>
      </x:c>
      <x:c r="F49" s="287"/>
      <x:c r="G49" s="308" t="n">
        <x:v>3000</x:v>
      </x:c>
      <x:c r="H49" s="309" t="n">
        <x:f>E49*G49</x:f>
        <x:v>3000</x:v>
      </x:c>
      <x:c r="I49" s="297"/>
      <x:c r="J49" s="258"/>
      <x:c r="K49" s="331"/>
      <x:c r="L49" s="214"/>
      <x:c r="M49" s="214"/>
      <x:c r="N49" s="214"/>
      <x:c r="O49" s="214"/>
      <x:c r="P49" s="215"/>
    </x:row>
    <x:row r="50" ht="34" customHeight="1">
      <x:c r="B50" s="257" t="n">
        <x:v>36</x:v>
      </x:c>
      <x:c r="C50" s="269" t="str">
        <x:v>70</x:v>
      </x:c>
      <x:c r="D50" s="331" t="str">
        <x:v>trocar 12mm unimicro</x:v>
      </x:c>
      <x:c r="E50" s="314" t="n">
        <x:v>1083</x:v>
      </x:c>
      <x:c r="F50" s="287" t="str">
        <x:v>27-09</x:v>
      </x:c>
      <x:c r="G50" s="308" t="n">
        <x:v>880</x:v>
      </x:c>
      <x:c r="H50" s="309" t="n">
        <x:f>E50*G50</x:f>
        <x:v>953040</x:v>
      </x:c>
      <x:c r="I50" s="297"/>
      <x:c r="J50" s="258" t="n">
        <x:v>1</x:v>
      </x:c>
      <x:c r="K50" s="331" t="str">
        <x:v>الصلاحية مؤكدة؛ اختلاف جرد فبراير للمراجعة</x:v>
      </x:c>
      <x:c r="L50" s="214"/>
      <x:c r="M50" s="214"/>
      <x:c r="N50" s="214"/>
      <x:c r="O50" s="214"/>
      <x:c r="P50" s="215"/>
    </x:row>
    <x:row r="51" ht="34" customHeight="1">
      <x:c r="B51" s="257" t="n">
        <x:v>37</x:v>
      </x:c>
      <x:c r="C51" s="269" t="str">
        <x:v>70</x:v>
      </x:c>
      <x:c r="D51" s="331" t="str">
        <x:v>trocar 12mm unimicro</x:v>
      </x:c>
      <x:c r="E51" s="314" t="n">
        <x:v>2000</x:v>
      </x:c>
      <x:c r="F51" s="287" t="str">
        <x:v>27-09</x:v>
      </x:c>
      <x:c r="G51" s="308" t="n">
        <x:v>895</x:v>
      </x:c>
      <x:c r="H51" s="309" t="n">
        <x:f>E51*G51</x:f>
        <x:v>1790000</x:v>
      </x:c>
      <x:c r="I51" s="297"/>
      <x:c r="J51" s="258" t="n">
        <x:v>2</x:v>
      </x:c>
      <x:c r="K51" s="331" t="str">
        <x:v>الصلاحية مؤكدة؛ اختلاف جرد فبراير للمراجعة</x:v>
      </x:c>
      <x:c r="L51" s="214"/>
      <x:c r="M51" s="214"/>
      <x:c r="N51" s="214"/>
      <x:c r="O51" s="214"/>
      <x:c r="P51" s="215"/>
    </x:row>
    <x:row r="52" ht="34" customHeight="1">
      <x:c r="B52" s="257" t="n">
        <x:v>38</x:v>
      </x:c>
      <x:c r="C52" s="269" t="str">
        <x:v>ESA60-2.6</x:v>
      </x:c>
      <x:c r="D52" s="331" t="str">
        <x:v>White reload 60mm</x:v>
      </x:c>
      <x:c r="E52" s="314" t="n">
        <x:v>4</x:v>
      </x:c>
      <x:c r="F52" s="287" t="str">
        <x:v>28-02</x:v>
      </x:c>
      <x:c r="G52" s="308" t="n">
        <x:v>700</x:v>
      </x:c>
      <x:c r="H52" s="309" t="n">
        <x:f>E52*G52</x:f>
        <x:v>2800</x:v>
      </x:c>
      <x:c r="I52" s="297"/>
      <x:c r="J52" s="258"/>
      <x:c r="K52" s="331"/>
      <x:c r="L52" s="214"/>
      <x:c r="M52" s="214"/>
      <x:c r="N52" s="214"/>
      <x:c r="O52" s="214"/>
      <x:c r="P52" s="215"/>
    </x:row>
    <x:row r="53" ht="34" customHeight="1">
      <x:c r="B53" s="257" t="n">
        <x:v>39</x:v>
      </x:c>
      <x:c r="C53" s="269" t="str">
        <x:v>BATTERY</x:v>
      </x:c>
      <x:c r="D53" s="331" t="str">
        <x:v>stapler battery</x:v>
      </x:c>
      <x:c r="E53" s="314" t="n">
        <x:v>18</x:v>
      </x:c>
      <x:c r="F53" s="287" t="str">
        <x:v>27-01</x:v>
      </x:c>
      <x:c r="G53" s="308" t="n">
        <x:v>292</x:v>
      </x:c>
      <x:c r="H53" s="309" t="n">
        <x:f>E53*G53</x:f>
        <x:v>5256</x:v>
      </x:c>
      <x:c r="I53" s="297"/>
      <x:c r="J53" s="258"/>
      <x:c r="K53" s="331"/>
      <x:c r="L53" s="214"/>
      <x:c r="M53" s="214"/>
      <x:c r="N53" s="214"/>
      <x:c r="O53" s="214"/>
      <x:c r="P53" s="215"/>
    </x:row>
    <x:row r="54" ht="34" customHeight="1">
      <x:c r="B54" s="257" t="n">
        <x:v>40</x:v>
      </x:c>
      <x:c r="C54" s="269" t="str">
        <x:v>115</x:v>
      </x:c>
      <x:c r="D54" s="331" t="str">
        <x:v>EEG Paste ( Cream ) Wave /250 gr</x:v>
      </x:c>
      <x:c r="E54" s="314" t="n">
        <x:v>10</x:v>
      </x:c>
      <x:c r="F54" s="287" t="str">
        <x:v>27-07</x:v>
      </x:c>
      <x:c r="G54" s="308" t="n">
        <x:v>255</x:v>
      </x:c>
      <x:c r="H54" s="309" t="n">
        <x:f>E54*G54</x:f>
        <x:v>2550</x:v>
      </x:c>
      <x:c r="I54" s="297"/>
      <x:c r="J54" s="258"/>
      <x:c r="K54" s="331"/>
      <x:c r="L54" s="214"/>
      <x:c r="M54" s="214"/>
      <x:c r="N54" s="214"/>
      <x:c r="O54" s="214"/>
      <x:c r="P54" s="215"/>
    </x:row>
    <x:row r="55" ht="34" customHeight="1">
      <x:c r="B55" s="257" t="n">
        <x:v>41</x:v>
      </x:c>
      <x:c r="C55" s="269" t="str">
        <x:v>71</x:v>
      </x:c>
      <x:c r="D55" s="331" t="str">
        <x:v>cannula 12mm unimicro</x:v>
      </x:c>
      <x:c r="E55" s="314" t="n">
        <x:v>378</x:v>
      </x:c>
      <x:c r="F55" s="287" t="str">
        <x:v>26-03</x:v>
      </x:c>
      <x:c r="G55" s="308" t="n">
        <x:v>520</x:v>
      </x:c>
      <x:c r="H55" s="309" t="n">
        <x:f>E55*G55</x:f>
        <x:v>196560</x:v>
      </x:c>
      <x:c r="I55" s="297"/>
      <x:c r="J55" s="258"/>
      <x:c r="K55" s="331"/>
      <x:c r="L55" s="214"/>
      <x:c r="M55" s="214"/>
      <x:c r="N55" s="214"/>
      <x:c r="O55" s="214"/>
      <x:c r="P55" s="215"/>
    </x:row>
    <x:row r="56" ht="34" customHeight="1">
      <x:c r="B56" s="257" t="n">
        <x:v>42</x:v>
      </x:c>
      <x:c r="C56" s="269" t="str">
        <x:v>30010</x:v>
      </x:c>
      <x:c r="D56" s="331" t="str">
        <x:v>Touren pca 300 multirate without button</x:v>
      </x:c>
      <x:c r="E56" s="314" t="n">
        <x:v>10</x:v>
      </x:c>
      <x:c r="F56" s="287" t="str">
        <x:v>29-05</x:v>
      </x:c>
      <x:c r="G56" s="308" t="n">
        <x:v>431.81</x:v>
      </x:c>
      <x:c r="H56" s="309" t="n">
        <x:f>E56*G56</x:f>
        <x:v>4318.1</x:v>
      </x:c>
      <x:c r="I56" s="297"/>
      <x:c r="J56" s="258"/>
      <x:c r="K56" s="331"/>
      <x:c r="L56" s="214"/>
      <x:c r="M56" s="214"/>
      <x:c r="N56" s="214"/>
      <x:c r="O56" s="214"/>
      <x:c r="P56" s="215"/>
    </x:row>
    <x:row r="57" ht="34" customHeight="1">
      <x:c r="B57" s="257" t="n">
        <x:v>43</x:v>
      </x:c>
      <x:c r="C57" s="269" t="str">
        <x:v>17</x:v>
      </x:c>
      <x:c r="D57" s="331" t="str">
        <x:v>Panther blue reload 60 mm</x:v>
      </x:c>
      <x:c r="E57" s="314" t="n">
        <x:v>1</x:v>
      </x:c>
      <x:c r="F57" s="287"/>
      <x:c r="G57" s="308" t="n">
        <x:v>1280</x:v>
      </x:c>
      <x:c r="H57" s="309" t="n">
        <x:f>E57*G57</x:f>
        <x:v>1280</x:v>
      </x:c>
      <x:c r="I57" s="297"/>
      <x:c r="J57" s="258"/>
      <x:c r="K57" s="331"/>
      <x:c r="L57" s="214"/>
      <x:c r="M57" s="214"/>
      <x:c r="N57" s="214"/>
      <x:c r="O57" s="214"/>
      <x:c r="P57" s="215"/>
    </x:row>
    <x:row r="58" ht="34" customHeight="1">
      <x:c r="B58" s="257" t="n">
        <x:v>44</x:v>
      </x:c>
      <x:c r="C58" s="269" t="str">
        <x:v>19</x:v>
      </x:c>
      <x:c r="D58" s="331" t="str">
        <x:v>panther gold reload 60mm</x:v>
      </x:c>
      <x:c r="E58" s="314" t="n">
        <x:v>9</x:v>
      </x:c>
      <x:c r="F58" s="287"/>
      <x:c r="G58" s="308" t="n">
        <x:v>1400</x:v>
      </x:c>
      <x:c r="H58" s="309" t="n">
        <x:f>E58*G58</x:f>
        <x:v>12600</x:v>
      </x:c>
      <x:c r="I58" s="297"/>
      <x:c r="J58" s="258"/>
      <x:c r="K58" s="331"/>
      <x:c r="L58" s="214"/>
      <x:c r="M58" s="214"/>
      <x:c r="N58" s="214"/>
      <x:c r="O58" s="214"/>
      <x:c r="P58" s="215"/>
    </x:row>
    <x:row r="59">
      <x:c r="B59" s="213"/>
      <x:c r="C59" s="214"/>
      <x:c r="D59" s="214"/>
      <x:c r="E59" s="315"/>
      <x:c r="F59" s="214"/>
      <x:c r="G59" s="310"/>
      <x:c r="H59" s="310"/>
      <x:c r="I59" s="214"/>
      <x:c r="J59" s="214"/>
      <x:c r="K59" s="214"/>
      <x:c r="L59" s="214"/>
      <x:c r="M59" s="214"/>
      <x:c r="N59" s="214"/>
      <x:c r="O59" s="214"/>
      <x:c r="P59" s="215"/>
    </x:row>
    <x:row r="60">
      <x:c r="B60" s="320"/>
      <x:c r="C60" s="321"/>
      <x:c r="D60" s="321" t="str">
        <x:v>الإجمالي</x:v>
      </x:c>
      <x:c r="E60" s="322" t="n">
        <x:f>SUM(E16:E58)</x:f>
        <x:v>11347</x:v>
      </x:c>
      <x:c r="F60" s="321"/>
      <x:c r="G60" s="323"/>
      <x:c r="H60" s="323" t="n">
        <x:f>SUM(H16:H58)</x:f>
        <x:v>6592366.54</x:v>
      </x:c>
      <x:c r="I60" s="321"/>
      <x:c r="J60" s="321"/>
      <x:c r="K60" s="321"/>
      <x:c r="L60" s="214"/>
      <x:c r="M60" s="214"/>
      <x:c r="N60" s="214"/>
      <x:c r="O60" s="214"/>
      <x:c r="P60" s="215"/>
    </x:row>
    <x:row r="61">
      <x:c r="B61" s="216"/>
      <x:c r="C61" s="217"/>
      <x:c r="D61" s="217"/>
      <x:c r="E61" s="217"/>
      <x:c r="F61" s="217"/>
      <x:c r="G61" s="217"/>
      <x:c r="H61" s="217"/>
      <x:c r="I61" s="217"/>
      <x:c r="J61" s="217"/>
      <x:c r="K61" s="217"/>
      <x:c r="L61" s="217"/>
      <x:c r="M61" s="217"/>
      <x:c r="N61" s="217"/>
      <x:c r="O61" s="217"/>
      <x:c r="P61" s="218"/>
    </x:row>
  </x:sheetData>
  <x:mergeCells>
    <x:mergeCell ref="C11:P11"/>
    <x:mergeCell ref="B13:P13"/>
    <x:mergeCell ref="B5:P5"/>
    <x:mergeCell ref="B6:P6"/>
    <x:mergeCell ref="B7:P7"/>
  </x:mergeCells>
  <x:dataValidations count="1">
    <x:dataValidation type="list" sqref="C9">
      <x:formula1>"2025-12-31"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7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</x:cols>
  <x:sheetData>
    <x:row r="1">
      <x:c r="A1" s="3" t="str">
        <x:v>المؤشر</x:v>
      </x:c>
      <x:c r="B1" s="3" t="str">
        <x:v>القيمة</x:v>
      </x:c>
      <x:c r="C1" s="3"/>
      <x:c r="D1" s="3"/>
      <x:c r="E1" s="3"/>
      <x:c r="F1" s="3"/>
      <x:c r="G1" s="4"/>
      <x:c r="H1" s="3" t="str">
        <x:v>الصنف</x:v>
      </x:c>
      <x:c r="I1" s="3" t="str">
        <x:v>ملف الافتتاحي</x:v>
      </x:c>
      <x:c r="J1" s="3" t="str">
        <x:v>Flow</x:v>
      </x:c>
      <x:c r="K1" s="4"/>
      <x:c r="L1" s="3" t="str">
        <x:v>الصنف</x:v>
      </x:c>
      <x:c r="M1" s="3" t="str">
        <x:v>قيمة الافتتاحي</x:v>
      </x:c>
      <x:c r="N1" s="3"/>
      <x:c r="O1" s="4"/>
      <x:c r="P1" s="3" t="str">
        <x:v>بيانات الصلاحية</x:v>
      </x:c>
      <x:c r="Q1" s="3" t="str">
        <x:v>عدد السطور</x:v>
      </x:c>
      <x:c r="R1" s="4"/>
      <x:c r="S1" s="3" t="str">
        <x:v>بيانات الصلاحية</x:v>
      </x:c>
      <x:c r="T1" s="3" t="str">
        <x:v>الكمية</x:v>
      </x:c>
    </x:row>
    <x:row r="2">
      <x:c r="A2" s="4" t="str">
        <x:v>الأصناف</x:v>
      </x:c>
      <x:c r="B2" s="6" t="n">
        <x:f>COUNTIFS('مطابقة الافتتاحي'!$D$9:$D$114,"&gt;0")</x:f>
        <x:v>41</x:v>
      </x:c>
      <x:c r="C2" s="6"/>
      <x:c r="D2" s="6"/>
      <x:c r="E2" s="4">
        <x:f t="shared" ref="E2:E7" si="0">"Higher"</x:f>
      </x:c>
      <x:c r="F2" s="4">
        <x:f t="shared" ref="F2:F9" si="1">IF(E2="Higher",IF(B2&gt;=C2,"Favorable",IF(B2&gt;=C2*0.95,"Watch","Unfavorable")),IF(B2&lt;=C2,"Favorable",IF(B2&lt;=C2*1.05,"Watch","Unfavorable")))</x:f>
      </x:c>
      <x:c r="G2" s="4"/>
      <x:c r="H2" s="11" t="str">
        <x:v>كود 70</x:v>
      </x:c>
      <x:c r="I2" s="4" t="n">
        <x:f>'مطابقة الافتتاحي'!D36</x:f>
        <x:v>3083</x:v>
      </x:c>
      <x:c r="J2" s="4" t="n">
        <x:f>'مطابقة الافتتاحي'!G36</x:f>
        <x:v>3083</x:v>
      </x:c>
      <x:c r="K2" s="4"/>
      <x:c r="L2" s="11" t="str">
        <x:v>كود 70</x:v>
      </x:c>
      <x:c r="M2" s="4" t="n">
        <x:f>SUMIFS('Data &amp; Targets'!$H$16:$H$58,'Data &amp; Targets'!$C$16:$C$58,"70")</x:f>
        <x:v>2743040</x:v>
      </x:c>
      <x:c r="N2" s="4"/>
      <x:c r="O2" s="4"/>
      <x:c r="P2" s="4" t="str">
        <x:v>بصلاحية</x:v>
      </x:c>
      <x:c r="Q2" s="6" t="n">
        <x:f>B6</x:f>
        <x:v>31</x:v>
      </x:c>
      <x:c r="R2" s="4"/>
      <x:c r="S2" s="4" t="str">
        <x:v>بصلاحية</x:v>
      </x:c>
      <x:c r="T2" s="9" t="n">
        <x:f>SUMIFS('Data &amp; Targets'!$E$16:$E$58,'Data &amp; Targets'!$F$16:$F$58,"&lt;&gt;")</x:f>
        <x:v>9759</x:v>
      </x:c>
    </x:row>
    <x:row r="3">
      <x:c r="A3" s="4" t="str">
        <x:v>الوحدات</x:v>
      </x:c>
      <x:c r="B3" s="6" t="n">
        <x:f>SUM('Data &amp; Targets'!$E$16:$E$58)</x:f>
        <x:v>11347</x:v>
      </x:c>
      <x:c r="C3" s="6"/>
      <x:c r="D3" s="6"/>
      <x:c r="E3" s="4">
        <x:f t="shared" si="0"/>
      </x:c>
      <x:c r="F3" s="4">
        <x:f t="shared" si="1"/>
      </x:c>
      <x:c r="G3" s="4"/>
      <x:c r="H3" s="11" t="str">
        <x:v>كود 144</x:v>
      </x:c>
      <x:c r="I3" s="4" t="n">
        <x:f>'مطابقة الافتتاحي'!D98</x:f>
        <x:v>1921</x:v>
      </x:c>
      <x:c r="J3" s="4" t="n">
        <x:f>'مطابقة الافتتاحي'!G98</x:f>
        <x:v>1921</x:v>
      </x:c>
      <x:c r="K3" s="4"/>
      <x:c r="L3" s="11" t="str">
        <x:v>كود 144</x:v>
      </x:c>
      <x:c r="M3" s="4" t="n">
        <x:f>SUMIFS('Data &amp; Targets'!$H$16:$H$58,'Data &amp; Targets'!$C$16:$C$58,"144")</x:f>
        <x:v>643535</x:v>
      </x:c>
      <x:c r="N3" s="4"/>
      <x:c r="O3" s="4"/>
      <x:c r="P3" s="4" t="str">
        <x:v>بدون صلاحية</x:v>
      </x:c>
      <x:c r="Q3" s="6" t="n">
        <x:f>B7</x:f>
        <x:v>12</x:v>
      </x:c>
      <x:c r="R3" s="4"/>
      <x:c r="S3" s="4" t="str">
        <x:v>بدون صلاحية</x:v>
      </x:c>
      <x:c r="T3" s="9" t="n">
        <x:f>B3-T2</x:f>
        <x:v>1588</x:v>
      </x:c>
    </x:row>
    <x:row r="4">
      <x:c r="A4" s="4" t="str">
        <x:v>القيمة</x:v>
      </x:c>
      <x:c r="B4" s="7" t="n">
        <x:f>SUM('Data &amp; Targets'!$H$16:$H$58)</x:f>
        <x:v>6592366.54</x:v>
      </x:c>
      <x:c r="C4" s="7"/>
      <x:c r="D4" s="7"/>
      <x:c r="E4" s="4">
        <x:f t="shared" si="0"/>
      </x:c>
      <x:c r="F4" s="4">
        <x:f t="shared" si="1"/>
      </x:c>
      <x:c r="G4" s="4"/>
      <x:c r="H4" s="11" t="str">
        <x:v>كود 143</x:v>
      </x:c>
      <x:c r="I4" s="4" t="n">
        <x:f>'مطابقة الافتتاحي'!D97</x:f>
        <x:v>1651</x:v>
      </x:c>
      <x:c r="J4" s="4" t="n">
        <x:f>'مطابقة الافتتاحي'!G97</x:f>
        <x:v>1651</x:v>
      </x:c>
      <x:c r="K4" s="4"/>
      <x:c r="L4" s="11" t="str">
        <x:v>كود 143</x:v>
      </x:c>
      <x:c r="M4" s="4" t="n">
        <x:f>SUMIFS('Data &amp; Targets'!$H$16:$H$58,'Data &amp; Targets'!$C$16:$C$58,"143")</x:f>
        <x:v>553085</x:v>
      </x:c>
      <x:c r="N4" s="4"/>
      <x:c r="O4" s="4"/>
      <x:c r="P4" s="4"/>
      <x:c r="Q4" s="6"/>
      <x:c r="R4" s="4"/>
      <x:c r="S4" s="4"/>
      <x:c r="T4" s="9"/>
    </x:row>
    <x:row r="5">
      <x:c r="A5" s="4" t="str">
        <x:v>طبقات الافتتاحي</x:v>
      </x:c>
      <x:c r="B5" s="7" t="n">
        <x:f>COUNTA('Data &amp; Targets'!$C$16:$C$58)</x:f>
        <x:v>43</x:v>
      </x:c>
      <x:c r="C5" s="7"/>
      <x:c r="D5" s="7"/>
      <x:c r="E5" s="4">
        <x:f t="shared" si="0"/>
      </x:c>
      <x:c r="F5" s="4">
        <x:f t="shared" si="1"/>
      </x:c>
      <x:c r="G5" s="4"/>
      <x:c r="H5" s="11" t="str">
        <x:v>كود 142</x:v>
      </x:c>
      <x:c r="I5" s="4" t="n">
        <x:f>'مطابقة الافتتاحي'!D96</x:f>
        <x:v>1541</x:v>
      </x:c>
      <x:c r="J5" s="4" t="n">
        <x:f>'مطابقة الافتتاحي'!G96</x:f>
        <x:v>1541</x:v>
      </x:c>
      <x:c r="K5" s="4"/>
      <x:c r="L5" s="11" t="str">
        <x:v>كود 142</x:v>
      </x:c>
      <x:c r="M5" s="4" t="n">
        <x:f>SUMIFS('Data &amp; Targets'!$H$16:$H$58,'Data &amp; Targets'!$C$16:$C$58,"142")</x:f>
        <x:v>593285</x:v>
      </x:c>
      <x:c r="N5" s="4"/>
      <x:c r="O5" s="4"/>
      <x:c r="P5" s="4"/>
      <x:c r="Q5" s="6"/>
      <x:c r="R5" s="4"/>
      <x:c r="S5" s="4"/>
      <x:c r="T5" s="9"/>
    </x:row>
    <x:row r="6">
      <x:c r="A6" s="4" t="str">
        <x:v>بصلاحية</x:v>
      </x:c>
      <x:c r="B6" s="8" t="n">
        <x:f>COUNTA('Data &amp; Targets'!$F$16:$F$58)</x:f>
        <x:v>31</x:v>
      </x:c>
      <x:c r="C6" s="8"/>
      <x:c r="D6" s="8"/>
      <x:c r="E6" s="4">
        <x:f t="shared" si="0"/>
      </x:c>
      <x:c r="F6" s="4">
        <x:f t="shared" si="1"/>
      </x:c>
      <x:c r="G6" s="4"/>
      <x:c r="H6" s="11" t="str">
        <x:v>كود 105</x:v>
      </x:c>
      <x:c r="I6" s="4" t="n">
        <x:f>'مطابقة الافتتاحي'!D59</x:f>
        <x:v>920</x:v>
      </x:c>
      <x:c r="J6" s="4" t="n">
        <x:f>'مطابقة الافتتاحي'!G59</x:f>
        <x:v>920</x:v>
      </x:c>
      <x:c r="K6" s="4"/>
      <x:c r="L6" s="11" t="str">
        <x:v>كود 105</x:v>
      </x:c>
      <x:c r="M6" s="4" t="n">
        <x:f>SUMIFS('Data &amp; Targets'!$H$16:$H$58,'Data &amp; Targets'!$C$16:$C$58,"105")</x:f>
        <x:v>644000</x:v>
      </x:c>
      <x:c r="N6" s="4"/>
      <x:c r="O6" s="4"/>
      <x:c r="P6" s="4"/>
      <x:c r="Q6" s="6"/>
      <x:c r="R6" s="4"/>
      <x:c r="S6" s="4"/>
      <x:c r="T6" s="4"/>
    </x:row>
    <x:row r="7">
      <x:c r="A7" s="4" t="str">
        <x:v>بدون صلاحية</x:v>
      </x:c>
      <x:c r="B7" s="9" t="n">
        <x:f>COUNTBLANK('Data &amp; Targets'!$F$16:$F$58)</x:f>
        <x:v>12</x:v>
      </x:c>
      <x:c r="C7" s="9"/>
      <x:c r="D7" s="9"/>
      <x:c r="E7" s="4">
        <x:f t="shared" si="0"/>
      </x:c>
      <x:c r="F7" s="4">
        <x:f t="shared" si="1"/>
      </x:c>
      <x:c r="G7" s="4"/>
      <x:c r="H7" s="11" t="str">
        <x:v>كود 106</x:v>
      </x:c>
      <x:c r="I7" s="4" t="n">
        <x:f>'مطابقة الافتتاحي'!D60</x:f>
        <x:v>380</x:v>
      </x:c>
      <x:c r="J7" s="4" t="n">
        <x:f>'مطابقة الافتتاحي'!G60</x:f>
        <x:v>380</x:v>
      </x:c>
      <x:c r="K7" s="4"/>
      <x:c r="L7" s="11" t="str">
        <x:v>كود 106</x:v>
      </x:c>
      <x:c r="M7" s="4" t="n">
        <x:f>SUMIFS('Data &amp; Targets'!$H$16:$H$58,'Data &amp; Targets'!$C$16:$C$58,"106")</x:f>
        <x:v>266000</x:v>
      </x:c>
      <x:c r="N7" s="4"/>
      <x:c r="O7" s="4"/>
      <x:c r="P7" s="4"/>
      <x:c r="Q7" s="4"/>
      <x:c r="R7" s="4"/>
      <x:c r="S7" s="4"/>
      <x:c r="T7" s="4"/>
    </x:row>
    <x:row r="8">
      <x:c r="A8" s="4" t="str">
        <x:v>تكلفة صفر</x:v>
      </x:c>
      <x:c r="B8" s="7" t="n">
        <x:f>COUNTIFS('Data &amp; Targets'!$G$16:$G$58,0)</x:f>
        <x:v>1</x:v>
      </x:c>
      <x:c r="C8" s="7"/>
      <x:c r="D8" s="7"/>
      <x:c r="E8" s="4"/>
      <x:c r="F8" s="4">
        <x:f t="shared" si="1"/>
      </x:c>
      <x:c r="G8" s="4"/>
      <x:c r="H8" s="11" t="str">
        <x:v>كود 71</x:v>
      </x:c>
      <x:c r="I8" s="4" t="n">
        <x:f>'مطابقة الافتتاحي'!D37</x:f>
        <x:v>378</x:v>
      </x:c>
      <x:c r="J8" s="4" t="n">
        <x:f>'مطابقة الافتتاحي'!G37</x:f>
        <x:v>378</x:v>
      </x:c>
      <x:c r="K8" s="4"/>
      <x:c r="L8" s="11" t="str">
        <x:v>كود 71</x:v>
      </x:c>
      <x:c r="M8" s="4" t="n">
        <x:f>SUMIFS('Data &amp; Targets'!$H$16:$H$58,'Data &amp; Targets'!$C$16:$C$58,"71")</x:f>
        <x:v>196560</x:v>
      </x:c>
      <x:c r="N8" s="4"/>
      <x:c r="O8" s="4"/>
      <x:c r="P8" s="4"/>
      <x:c r="Q8" s="4"/>
      <x:c r="R8" s="4"/>
      <x:c r="S8" s="4"/>
      <x:c r="T8" s="4"/>
    </x:row>
    <x:row r="9">
      <x:c r="A9" s="4" t="str">
        <x:v>أصناف بها فرق</x:v>
      </x:c>
      <x:c r="B9" s="10" t="n">
        <x:f>COUNTIFS('مطابقة الافتتاحي'!$H$9:$H$114,"&lt;&gt;0")</x:f>
        <x:v>0</x:v>
      </x:c>
      <x:c r="C9" s="10"/>
      <x:c r="D9" s="10"/>
      <x:c r="E9" s="4"/>
      <x:c r="F9" s="4">
        <x:f t="shared" si="1"/>
      </x:c>
      <x:c r="G9" s="4"/>
      <x:c r="H9" s="11" t="str">
        <x:v>كود 75</x:v>
      </x:c>
      <x:c r="I9" s="4" t="n">
        <x:f>'مطابقة الافتتاحي'!D39</x:f>
        <x:v>276</x:v>
      </x:c>
      <x:c r="J9" s="4" t="n">
        <x:f>'مطابقة الافتتاحي'!G39</x:f>
        <x:v>276</x:v>
      </x:c>
      <x:c r="K9" s="4"/>
      <x:c r="L9" s="11" t="str">
        <x:v>كود 75</x:v>
      </x:c>
      <x:c r="M9" s="4" t="n">
        <x:f>SUMIFS('Data &amp; Targets'!$H$16:$H$58,'Data &amp; Targets'!$C$16:$C$58,"75")</x:f>
        <x:v>154560</x:v>
      </x:c>
      <x:c r="N9" s="4"/>
      <x:c r="O9" s="4"/>
      <x:c r="P9" s="4"/>
      <x:c r="Q9" s="4"/>
      <x:c r="R9" s="4"/>
      <x:c r="S9" s="4"/>
      <x:c r="T9" s="4"/>
    </x:row>
    <x:row r="10">
      <x:c r="A10" s="4"/>
      <x:c r="B10" s="4"/>
      <x:c r="C10" s="4"/>
      <x:c r="D10" s="4"/>
      <x:c r="E10" s="4"/>
      <x:c r="F10" s="4"/>
      <x:c r="G10" s="4"/>
      <x:c r="H10" s="11"/>
      <x:c r="I10" s="4"/>
      <x:c r="J10" s="4"/>
      <x:c r="K10" s="4"/>
      <x:c r="L10" s="11"/>
      <x:c r="M10" s="4"/>
      <x:c r="N10" s="4"/>
      <x:c r="O10" s="4"/>
      <x:c r="P10" s="4"/>
      <x:c r="Q10" s="4"/>
      <x:c r="R10" s="4"/>
      <x:c r="S10" s="4"/>
      <x:c r="T10" s="4"/>
    </x:row>
    <x:row r="11">
      <x:c r="A11" s="4"/>
      <x:c r="B11" s="4"/>
      <x:c r="C11" s="4"/>
      <x:c r="D11" s="4"/>
      <x:c r="E11" s="4"/>
      <x:c r="F11" s="4"/>
      <x:c r="G11" s="4"/>
      <x:c r="H11" s="11"/>
      <x:c r="I11" s="4"/>
      <x:c r="J11" s="4"/>
      <x:c r="K11" s="4"/>
      <x:c r="L11" s="11"/>
      <x:c r="M11" s="4"/>
      <x:c r="N11" s="4"/>
      <x:c r="O11" s="4"/>
      <x:c r="P11" s="4"/>
      <x:c r="Q11" s="4"/>
      <x:c r="R11" s="4"/>
      <x:c r="S11" s="4"/>
      <x:c r="T11" s="4"/>
    </x:row>
    <x:row r="12">
      <x:c r="A12" s="4"/>
      <x:c r="B12" s="4"/>
      <x:c r="C12" s="4"/>
      <x:c r="D12" s="4"/>
      <x:c r="E12" s="4"/>
      <x:c r="F12" s="4"/>
      <x:c r="G12" s="4"/>
      <x:c r="H12" s="11"/>
      <x:c r="I12" s="4"/>
      <x:c r="J12" s="4"/>
      <x:c r="K12" s="4"/>
      <x:c r="L12" s="11"/>
      <x:c r="M12" s="4"/>
      <x:c r="N12" s="4"/>
      <x:c r="O12" s="4"/>
      <x:c r="P12" s="4"/>
      <x:c r="Q12" s="4"/>
      <x:c r="R12" s="4"/>
      <x:c r="S12" s="4"/>
      <x:c r="T12" s="4"/>
    </x:row>
    <x:row r="13">
      <x:c r="A13" s="4"/>
      <x:c r="B13" s="4"/>
      <x:c r="C13" s="4"/>
      <x:c r="D13" s="4"/>
      <x:c r="E13" s="4"/>
      <x:c r="F13" s="4"/>
      <x:c r="G13" s="4"/>
      <x:c r="H13" s="11"/>
      <x:c r="I13" s="4"/>
      <x:c r="J13" s="4"/>
      <x:c r="K13" s="4"/>
      <x:c r="L13" s="11"/>
      <x:c r="M13" s="4"/>
      <x:c r="N13" s="4"/>
      <x:c r="O13" s="4"/>
      <x:c r="P13" s="4"/>
      <x:c r="Q13" s="4"/>
      <x:c r="R13" s="4"/>
      <x:c r="S13" s="4"/>
      <x:c r="T1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3" hidden="0" customWidth="1"/>
    <x:col min="2" max="2" width="18" hidden="0" customWidth="1"/>
    <x:col min="3" max="3" width="60" hidden="0" customWidth="1"/>
    <x:col min="4" max="4" width="16" hidden="0" customWidth="1"/>
    <x:col min="5" max="5" width="21" hidden="0" customWidth="1"/>
    <x:col min="6" max="6" width="21" hidden="0" customWidth="1"/>
    <x:col min="7" max="7" width="18" hidden="0" customWidth="1"/>
    <x:col min="8" max="8" width="13" hidden="0" customWidth="1"/>
    <x:col min="9" max="9" width="24" hidden="0" customWidth="1"/>
    <x:col min="10" max="10" width="18" hidden="0" customWidth="1"/>
  </x:cols>
  <x:sheetData>
    <x:row r="2" ht="34" customHeight="1">
      <x:c r="B2" s="332" t="str">
        <x:v>مطابقة رصيد المقطم ١ — ٣١ ديسمبر ٢٠٢٥</x:v>
      </x:c>
      <x:c r="C2" s="332"/>
      <x:c r="D2" s="332"/>
      <x:c r="E2" s="332"/>
      <x:c r="F2" s="332"/>
      <x:c r="G2" s="332"/>
      <x:c r="H2" s="332"/>
      <x:c r="I2" s="332"/>
      <x:c r="J2" s="332"/>
    </x:row>
    <x:row r="3" ht="27" customHeight="1">
      <x:c r="B3" s="337" t="str">
        <x:v>Flow | الشركة ١ / المخزن ١ | كميات فقط، دون تكلفة أو تقييم مالي</x:v>
      </x:c>
      <x:c r="C3" s="337"/>
      <x:c r="D3" s="337"/>
      <x:c r="E3" s="337"/>
      <x:c r="F3" s="337"/>
      <x:c r="G3" s="337"/>
      <x:c r="H3" s="337"/>
      <x:c r="I3" s="337"/>
      <x:c r="J3" s="337"/>
    </x:row>
    <x:row r="4" ht="27" customHeight="1">
      <x:c r="B4" s="337" t="str">
        <x:v>رصيد Flow التاريخي = مجموع الوارد − مجموع المنصرف حتى نهاية ٣١‑١٢‑٢٠٢٥.</x:v>
      </x:c>
      <x:c r="C4" s="337"/>
      <x:c r="D4" s="337"/>
      <x:c r="E4" s="337"/>
      <x:c r="F4" s="337"/>
      <x:c r="G4" s="337"/>
      <x:c r="H4" s="337"/>
      <x:c r="I4" s="337"/>
      <x:c r="J4" s="337"/>
    </x:row>
    <x:row r="5" ht="27" customHeight="1">
      <x:c r="B5" s="337" t="str">
        <x:v>تم التحقق من أن كمية الافتتاح المنفصلة في itbal تساوي صفرًا؛ الحركات وترويساتها نشطة.</x:v>
      </x:c>
      <x:c r="C5" s="337"/>
      <x:c r="D5" s="337"/>
      <x:c r="E5" s="337"/>
      <x:c r="F5" s="337"/>
      <x:c r="G5" s="337"/>
      <x:c r="H5" s="337"/>
      <x:c r="I5" s="337"/>
      <x:c r="J5" s="337"/>
    </x:row>
    <x:row r="6" ht="27" customHeight="1">
      <x:c r="B6" s="337" t="str">
        <x:v>استخراج: 2026-09-27 00:11:44 بتوقيت القاهرة | trndtl + trnhdr + itbal</x:v>
      </x:c>
      <x:c r="C6" s="337"/>
      <x:c r="D6" s="337"/>
      <x:c r="E6" s="337"/>
      <x:c r="F6" s="337"/>
      <x:c r="G6" s="337"/>
      <x:c r="H6" s="337"/>
      <x:c r="I6" s="337"/>
      <x:c r="J6" s="337"/>
    </x:row>
    <x:row r="7" ht="26" customHeight="1">
      <x:c r="B7" s="334"/>
      <x:c r="C7" s="334"/>
      <x:c r="D7" s="334"/>
      <x:c r="E7" s="334"/>
      <x:c r="F7" s="334"/>
      <x:c r="G7" s="334"/>
      <x:c r="H7" s="334"/>
      <x:c r="I7" s="334"/>
      <x:c r="J7" s="334"/>
    </x:row>
    <x:row r="8" ht="42" customHeight="1">
      <x:c r="B8" s="341" t="str">
        <x:v>كود الصنف</x:v>
      </x:c>
      <x:c r="C8" s="341" t="str">
        <x:v>اسم الصنف</x:v>
      </x:c>
      <x:c r="D8" s="341" t="str">
        <x:v>كمية الملف</x:v>
      </x:c>
      <x:c r="E8" s="341" t="str">
        <x:v>وارد Flow حتى التاريخ</x:v>
      </x:c>
      <x:c r="F8" s="341" t="str">
        <x:v>منصرف Flow حتى التاريخ</x:v>
      </x:c>
      <x:c r="G8" s="341" t="str">
        <x:v>رصيد Flow</x:v>
      </x:c>
      <x:c r="H8" s="341" t="str">
        <x:v>الفرق</x:v>
      </x:c>
      <x:c r="I8" s="341" t="str">
        <x:v>الحالة</x:v>
      </x:c>
      <x:c r="J8" s="341" t="str">
        <x:v>عدد سطور Flow</x:v>
      </x:c>
    </x:row>
    <x:row r="9" ht="34" customHeight="1">
      <x:c r="B9" s="342" t="str">
        <x:v>2</x:v>
      </x:c>
      <x:c r="C9" s="345" t="str">
        <x:v>رصيده الافتتاحي صفر</x:v>
      </x:c>
      <x:c r="D9" s="344" t="n">
        <x:f>SUMIFS('Data &amp; Targets'!$E$16:$E$58,'Data &amp; Targets'!$C$16:$C$58,B9)</x:f>
        <x:v>0</x:v>
      </x:c>
      <x:c r="E9" s="343" t="n">
        <x:v>3</x:v>
      </x:c>
      <x:c r="F9" s="343" t="n">
        <x:v>3</x:v>
      </x:c>
      <x:c r="G9" s="343" t="n">
        <x:f>E9-F9</x:f>
        <x:v>0</x:v>
      </x:c>
      <x:c r="H9" s="343" t="n">
        <x:f>D9-G9</x:f>
        <x:v>0</x:v>
      </x:c>
      <x:c r="I9" s="343" t="str">
        <x:f>IF(H9=0,"مطابق","فرق يحتاج مراجعة")</x:f>
        <x:v>مطابق</x:v>
      </x:c>
      <x:c r="J9" s="343" t="n">
        <x:v>2</x:v>
      </x:c>
    </x:row>
    <x:row r="10" ht="34" customHeight="1">
      <x:c r="B10" s="342" t="str">
        <x:v>3</x:v>
      </x:c>
      <x:c r="C10" s="345" t="str">
        <x:v>رصيده الافتتاحي صفر</x:v>
      </x:c>
      <x:c r="D10" s="344" t="n">
        <x:f>SUMIFS('Data &amp; Targets'!$E$16:$E$58,'Data &amp; Targets'!$C$16:$C$58,B10)</x:f>
        <x:v>0</x:v>
      </x:c>
      <x:c r="E10" s="343" t="n">
        <x:v>16</x:v>
      </x:c>
      <x:c r="F10" s="343" t="n">
        <x:v>16</x:v>
      </x:c>
      <x:c r="G10" s="343" t="n">
        <x:f>E10-F10</x:f>
        <x:v>0</x:v>
      </x:c>
      <x:c r="H10" s="343" t="n">
        <x:f>D10-G10</x:f>
        <x:v>0</x:v>
      </x:c>
      <x:c r="I10" s="343" t="str">
        <x:f>IF(H10=0,"مطابق","فرق يحتاج مراجعة")</x:f>
        <x:v>مطابق</x:v>
      </x:c>
      <x:c r="J10" s="343" t="n">
        <x:v>3</x:v>
      </x:c>
    </x:row>
    <x:row r="11" ht="34" customHeight="1">
      <x:c r="B11" s="342" t="str">
        <x:v>5</x:v>
      </x:c>
      <x:c r="C11" s="345" t="str">
        <x:v>PCA100/4ML with button (TUOREN)</x:v>
      </x:c>
      <x:c r="D11" s="344" t="n">
        <x:f>SUMIFS('Data &amp; Targets'!$E$16:$E$58,'Data &amp; Targets'!$C$16:$C$58,B11)</x:f>
        <x:v>15</x:v>
      </x:c>
      <x:c r="E11" s="343" t="n">
        <x:v>5856</x:v>
      </x:c>
      <x:c r="F11" s="343" t="n">
        <x:v>5841</x:v>
      </x:c>
      <x:c r="G11" s="343" t="n">
        <x:f>E11-F11</x:f>
        <x:v>15</x:v>
      </x:c>
      <x:c r="H11" s="343" t="n">
        <x:f>D11-G11</x:f>
        <x:v>0</x:v>
      </x:c>
      <x:c r="I11" s="343" t="str">
        <x:f>IF(H11=0,"مطابق","فرق يحتاج مراجعة")</x:f>
        <x:v>مطابق</x:v>
      </x:c>
      <x:c r="J11" s="343" t="n">
        <x:v>103</x:v>
      </x:c>
    </x:row>
    <x:row r="12" ht="34" customHeight="1">
      <x:c r="B12" s="342" t="str">
        <x:v>6</x:v>
      </x:c>
      <x:c r="C12" s="345" t="str">
        <x:v>رصيده الافتتاحي صفر</x:v>
      </x:c>
      <x:c r="D12" s="344" t="n">
        <x:f>SUMIFS('Data &amp; Targets'!$E$16:$E$58,'Data &amp; Targets'!$C$16:$C$58,B12)</x:f>
        <x:v>0</x:v>
      </x:c>
      <x:c r="E12" s="343" t="n">
        <x:v>1303</x:v>
      </x:c>
      <x:c r="F12" s="343" t="n">
        <x:v>1303</x:v>
      </x:c>
      <x:c r="G12" s="343" t="n">
        <x:f>E12-F12</x:f>
        <x:v>0</x:v>
      </x:c>
      <x:c r="H12" s="343" t="n">
        <x:f>D12-G12</x:f>
        <x:v>0</x:v>
      </x:c>
      <x:c r="I12" s="343" t="str">
        <x:f>IF(H12=0,"مطابق","فرق يحتاج مراجعة")</x:f>
        <x:v>مطابق</x:v>
      </x:c>
      <x:c r="J12" s="343" t="n">
        <x:v>58</x:v>
      </x:c>
    </x:row>
    <x:row r="13" ht="34" customHeight="1">
      <x:c r="B13" s="342" t="str">
        <x:v>13</x:v>
      </x:c>
      <x:c r="C13" s="345" t="str">
        <x:v>رصيده الافتتاحي صفر</x:v>
      </x:c>
      <x:c r="D13" s="344" t="n">
        <x:f>SUMIFS('Data &amp; Targets'!$E$16:$E$58,'Data &amp; Targets'!$C$16:$C$58,B13)</x:f>
        <x:v>0</x:v>
      </x:c>
      <x:c r="E13" s="343" t="n">
        <x:v>3</x:v>
      </x:c>
      <x:c r="F13" s="343" t="n">
        <x:v>3</x:v>
      </x:c>
      <x:c r="G13" s="343" t="n">
        <x:f>E13-F13</x:f>
        <x:v>0</x:v>
      </x:c>
      <x:c r="H13" s="343" t="n">
        <x:f>D13-G13</x:f>
        <x:v>0</x:v>
      </x:c>
      <x:c r="I13" s="343" t="str">
        <x:f>IF(H13=0,"مطابق","فرق يحتاج مراجعة")</x:f>
        <x:v>مطابق</x:v>
      </x:c>
      <x:c r="J13" s="343" t="n">
        <x:v>2</x:v>
      </x:c>
    </x:row>
    <x:row r="14" ht="34" customHeight="1">
      <x:c r="B14" s="342" t="str">
        <x:v>17</x:v>
      </x:c>
      <x:c r="C14" s="345" t="str">
        <x:v>Panther blue reload 60 mm</x:v>
      </x:c>
      <x:c r="D14" s="344" t="n">
        <x:f>SUMIFS('Data &amp; Targets'!$E$16:$E$58,'Data &amp; Targets'!$C$16:$C$58,B14)</x:f>
        <x:v>1</x:v>
      </x:c>
      <x:c r="E14" s="343" t="n">
        <x:v>1</x:v>
      </x:c>
      <x:c r="F14" s="343" t="n">
        <x:v>0</x:v>
      </x:c>
      <x:c r="G14" s="343" t="n">
        <x:f>E14-F14</x:f>
        <x:v>1</x:v>
      </x:c>
      <x:c r="H14" s="343" t="n">
        <x:f>D14-G14</x:f>
        <x:v>0</x:v>
      </x:c>
      <x:c r="I14" s="343" t="str">
        <x:f>IF(H14=0,"مطابق","فرق يحتاج مراجعة")</x:f>
        <x:v>مطابق</x:v>
      </x:c>
      <x:c r="J14" s="343" t="n">
        <x:v>1</x:v>
      </x:c>
    </x:row>
    <x:row r="15" ht="34" customHeight="1">
      <x:c r="B15" s="342" t="str">
        <x:v>18</x:v>
      </x:c>
      <x:c r="C15" s="345" t="str">
        <x:v>Panther green reload 60mm</x:v>
      </x:c>
      <x:c r="D15" s="344" t="n">
        <x:f>SUMIFS('Data &amp; Targets'!$E$16:$E$58,'Data &amp; Targets'!$C$16:$C$58,B15)</x:f>
        <x:v>3</x:v>
      </x:c>
      <x:c r="E15" s="343" t="n">
        <x:v>3</x:v>
      </x:c>
      <x:c r="F15" s="343" t="n">
        <x:v>0</x:v>
      </x:c>
      <x:c r="G15" s="343" t="n">
        <x:f>E15-F15</x:f>
        <x:v>3</x:v>
      </x:c>
      <x:c r="H15" s="343" t="n">
        <x:f>D15-G15</x:f>
        <x:v>0</x:v>
      </x:c>
      <x:c r="I15" s="343" t="str">
        <x:f>IF(H15=0,"مطابق","فرق يحتاج مراجعة")</x:f>
        <x:v>مطابق</x:v>
      </x:c>
      <x:c r="J15" s="343" t="n">
        <x:v>2</x:v>
      </x:c>
    </x:row>
    <x:row r="16" ht="34" customHeight="1">
      <x:c r="B16" s="342" t="str">
        <x:v>19</x:v>
      </x:c>
      <x:c r="C16" s="345" t="str">
        <x:v>panther gold reload 60mm</x:v>
      </x:c>
      <x:c r="D16" s="344" t="n">
        <x:f>SUMIFS('Data &amp; Targets'!$E$16:$E$58,'Data &amp; Targets'!$C$16:$C$58,B16)</x:f>
        <x:v>9</x:v>
      </x:c>
      <x:c r="E16" s="343" t="n">
        <x:v>9</x:v>
      </x:c>
      <x:c r="F16" s="343" t="n">
        <x:v>0</x:v>
      </x:c>
      <x:c r="G16" s="343" t="n">
        <x:f>E16-F16</x:f>
        <x:v>9</x:v>
      </x:c>
      <x:c r="H16" s="343" t="n">
        <x:f>D16-G16</x:f>
        <x:v>0</x:v>
      </x:c>
      <x:c r="I16" s="343" t="str">
        <x:f>IF(H16=0,"مطابق","فرق يحتاج مراجعة")</x:f>
        <x:v>مطابق</x:v>
      </x:c>
      <x:c r="J16" s="343" t="n">
        <x:v>1</x:v>
      </x:c>
    </x:row>
    <x:row r="17" ht="34" customHeight="1">
      <x:c r="B17" s="342" t="str">
        <x:v>22</x:v>
      </x:c>
      <x:c r="C17" s="345" t="str">
        <x:v>رصيده الافتتاحي صفر</x:v>
      </x:c>
      <x:c r="D17" s="344" t="n">
        <x:f>SUMIFS('Data &amp; Targets'!$E$16:$E$58,'Data &amp; Targets'!$C$16:$C$58,B17)</x:f>
        <x:v>0</x:v>
      </x:c>
      <x:c r="E17" s="343" t="n">
        <x:v>1</x:v>
      </x:c>
      <x:c r="F17" s="343" t="n">
        <x:v>1</x:v>
      </x:c>
      <x:c r="G17" s="343" t="n">
        <x:f>E17-F17</x:f>
        <x:v>0</x:v>
      </x:c>
      <x:c r="H17" s="343" t="n">
        <x:f>D17-G17</x:f>
        <x:v>0</x:v>
      </x:c>
      <x:c r="I17" s="343" t="str">
        <x:f>IF(H17=0,"مطابق","فرق يحتاج مراجعة")</x:f>
        <x:v>مطابق</x:v>
      </x:c>
      <x:c r="J17" s="343" t="n">
        <x:v>2</x:v>
      </x:c>
    </x:row>
    <x:row r="18" ht="34" customHeight="1">
      <x:c r="B18" s="342" t="str">
        <x:v>23</x:v>
      </x:c>
      <x:c r="C18" s="345" t="str">
        <x:v>رصيده الافتتاحي صفر</x:v>
      </x:c>
      <x:c r="D18" s="344" t="n">
        <x:f>SUMIFS('Data &amp; Targets'!$E$16:$E$58,'Data &amp; Targets'!$C$16:$C$58,B18)</x:f>
        <x:v>0</x:v>
      </x:c>
      <x:c r="E18" s="343" t="n">
        <x:v>1</x:v>
      </x:c>
      <x:c r="F18" s="343" t="n">
        <x:v>1</x:v>
      </x:c>
      <x:c r="G18" s="343" t="n">
        <x:f>E18-F18</x:f>
        <x:v>0</x:v>
      </x:c>
      <x:c r="H18" s="343" t="n">
        <x:f>D18-G18</x:f>
        <x:v>0</x:v>
      </x:c>
      <x:c r="I18" s="343" t="str">
        <x:f>IF(H18=0,"مطابق","فرق يحتاج مراجعة")</x:f>
        <x:v>مطابق</x:v>
      </x:c>
      <x:c r="J18" s="343" t="n">
        <x:v>2</x:v>
      </x:c>
    </x:row>
    <x:row r="19" ht="34" customHeight="1">
      <x:c r="B19" s="342" t="str">
        <x:v>30</x:v>
      </x:c>
      <x:c r="C19" s="345" t="str">
        <x:v>رصيده الافتتاحي صفر</x:v>
      </x:c>
      <x:c r="D19" s="344" t="n">
        <x:f>SUMIFS('Data &amp; Targets'!$E$16:$E$58,'Data &amp; Targets'!$C$16:$C$58,B19)</x:f>
        <x:v>0</x:v>
      </x:c>
      <x:c r="E19" s="343" t="n">
        <x:v>12</x:v>
      </x:c>
      <x:c r="F19" s="343" t="n">
        <x:v>12</x:v>
      </x:c>
      <x:c r="G19" s="343" t="n">
        <x:f>E19-F19</x:f>
        <x:v>0</x:v>
      </x:c>
      <x:c r="H19" s="343" t="n">
        <x:f>D19-G19</x:f>
        <x:v>0</x:v>
      </x:c>
      <x:c r="I19" s="343" t="str">
        <x:f>IF(H19=0,"مطابق","فرق يحتاج مراجعة")</x:f>
        <x:v>مطابق</x:v>
      </x:c>
      <x:c r="J19" s="343" t="n">
        <x:v>2</x:v>
      </x:c>
    </x:row>
    <x:row r="20" ht="34" customHeight="1">
      <x:c r="B20" s="342" t="str">
        <x:v>38</x:v>
      </x:c>
      <x:c r="C20" s="345" t="str">
        <x:v>رصيده الافتتاحي صفر</x:v>
      </x:c>
      <x:c r="D20" s="344" t="n">
        <x:f>SUMIFS('Data &amp; Targets'!$E$16:$E$58,'Data &amp; Targets'!$C$16:$C$58,B20)</x:f>
        <x:v>0</x:v>
      </x:c>
      <x:c r="E20" s="343" t="n">
        <x:v>1</x:v>
      </x:c>
      <x:c r="F20" s="343" t="n">
        <x:v>1</x:v>
      </x:c>
      <x:c r="G20" s="343" t="n">
        <x:f>E20-F20</x:f>
        <x:v>0</x:v>
      </x:c>
      <x:c r="H20" s="343" t="n">
        <x:f>D20-G20</x:f>
        <x:v>0</x:v>
      </x:c>
      <x:c r="I20" s="343" t="str">
        <x:f>IF(H20=0,"مطابق","فرق يحتاج مراجعة")</x:f>
        <x:v>مطابق</x:v>
      </x:c>
      <x:c r="J20" s="343" t="n">
        <x:v>2</x:v>
      </x:c>
    </x:row>
    <x:row r="21" ht="34" customHeight="1">
      <x:c r="B21" s="342" t="str">
        <x:v>39</x:v>
      </x:c>
      <x:c r="C21" s="345" t="str">
        <x:v>PCA 100/2ml without button(TUOREN)</x:v>
      </x:c>
      <x:c r="D21" s="344" t="n">
        <x:f>SUMIFS('Data &amp; Targets'!$E$16:$E$58,'Data &amp; Targets'!$C$16:$C$58,B21)</x:f>
        <x:v>2</x:v>
      </x:c>
      <x:c r="E21" s="343" t="n">
        <x:v>141</x:v>
      </x:c>
      <x:c r="F21" s="343" t="n">
        <x:v>139</x:v>
      </x:c>
      <x:c r="G21" s="343" t="n">
        <x:f>E21-F21</x:f>
        <x:v>2</x:v>
      </x:c>
      <x:c r="H21" s="343" t="n">
        <x:f>D21-G21</x:f>
        <x:v>0</x:v>
      </x:c>
      <x:c r="I21" s="343" t="str">
        <x:f>IF(H21=0,"مطابق","فرق يحتاج مراجعة")</x:f>
        <x:v>مطابق</x:v>
      </x:c>
      <x:c r="J21" s="343" t="n">
        <x:v>10</x:v>
      </x:c>
    </x:row>
    <x:row r="22" ht="34" customHeight="1">
      <x:c r="B22" s="342" t="str">
        <x:v>40</x:v>
      </x:c>
      <x:c r="C22" s="345" t="str">
        <x:v>رصيده الافتتاحي صفر</x:v>
      </x:c>
      <x:c r="D22" s="344" t="n">
        <x:f>SUMIFS('Data &amp; Targets'!$E$16:$E$58,'Data &amp; Targets'!$C$16:$C$58,B22)</x:f>
        <x:v>0</x:v>
      </x:c>
      <x:c r="E22" s="343" t="n">
        <x:v>50</x:v>
      </x:c>
      <x:c r="F22" s="343" t="n">
        <x:v>50</x:v>
      </x:c>
      <x:c r="G22" s="343" t="n">
        <x:f>E22-F22</x:f>
        <x:v>0</x:v>
      </x:c>
      <x:c r="H22" s="343" t="n">
        <x:f>D22-G22</x:f>
        <x:v>0</x:v>
      </x:c>
      <x:c r="I22" s="343" t="str">
        <x:f>IF(H22=0,"مطابق","فرق يحتاج مراجعة")</x:f>
        <x:v>مطابق</x:v>
      </x:c>
      <x:c r="J22" s="343" t="n">
        <x:v>2</x:v>
      </x:c>
    </x:row>
    <x:row r="23" ht="34" customHeight="1">
      <x:c r="B23" s="342" t="str">
        <x:v>41</x:v>
      </x:c>
      <x:c r="C23" s="345" t="str">
        <x:v>رصيده الافتتاحي صفر</x:v>
      </x:c>
      <x:c r="D23" s="344" t="n">
        <x:f>SUMIFS('Data &amp; Targets'!$E$16:$E$58,'Data &amp; Targets'!$C$16:$C$58,B23)</x:f>
        <x:v>0</x:v>
      </x:c>
      <x:c r="E23" s="343" t="n">
        <x:v>35</x:v>
      </x:c>
      <x:c r="F23" s="343" t="n">
        <x:v>35</x:v>
      </x:c>
      <x:c r="G23" s="343" t="n">
        <x:f>E23-F23</x:f>
        <x:v>0</x:v>
      </x:c>
      <x:c r="H23" s="343" t="n">
        <x:f>D23-G23</x:f>
        <x:v>0</x:v>
      </x:c>
      <x:c r="I23" s="343" t="str">
        <x:f>IF(H23=0,"مطابق","فرق يحتاج مراجعة")</x:f>
        <x:v>مطابق</x:v>
      </x:c>
      <x:c r="J23" s="343" t="n">
        <x:v>12</x:v>
      </x:c>
    </x:row>
    <x:row r="24" ht="34" customHeight="1">
      <x:c r="B24" s="342" t="str">
        <x:v>42</x:v>
      </x:c>
      <x:c r="C24" s="345" t="str">
        <x:v>رصيده الافتتاحي صفر</x:v>
      </x:c>
      <x:c r="D24" s="344" t="n">
        <x:f>SUMIFS('Data &amp; Targets'!$E$16:$E$58,'Data &amp; Targets'!$C$16:$C$58,B24)</x:f>
        <x:v>0</x:v>
      </x:c>
      <x:c r="E24" s="343" t="n">
        <x:v>173</x:v>
      </x:c>
      <x:c r="F24" s="343" t="n">
        <x:v>173</x:v>
      </x:c>
      <x:c r="G24" s="343" t="n">
        <x:f>E24-F24</x:f>
        <x:v>0</x:v>
      </x:c>
      <x:c r="H24" s="343" t="n">
        <x:f>D24-G24</x:f>
        <x:v>0</x:v>
      </x:c>
      <x:c r="I24" s="343" t="str">
        <x:f>IF(H24=0,"مطابق","فرق يحتاج مراجعة")</x:f>
        <x:v>مطابق</x:v>
      </x:c>
      <x:c r="J24" s="343" t="n">
        <x:v>31</x:v>
      </x:c>
    </x:row>
    <x:row r="25" ht="34" customHeight="1">
      <x:c r="B25" s="342" t="str">
        <x:v>43</x:v>
      </x:c>
      <x:c r="C25" s="345" t="str">
        <x:v>رصيده الافتتاحي صفر</x:v>
      </x:c>
      <x:c r="D25" s="344" t="n">
        <x:f>SUMIFS('Data &amp; Targets'!$E$16:$E$58,'Data &amp; Targets'!$C$16:$C$58,B25)</x:f>
        <x:v>0</x:v>
      </x:c>
      <x:c r="E25" s="343" t="n">
        <x:v>399</x:v>
      </x:c>
      <x:c r="F25" s="343" t="n">
        <x:v>399</x:v>
      </x:c>
      <x:c r="G25" s="343" t="n">
        <x:f>E25-F25</x:f>
        <x:v>0</x:v>
      </x:c>
      <x:c r="H25" s="343" t="n">
        <x:f>D25-G25</x:f>
        <x:v>0</x:v>
      </x:c>
      <x:c r="I25" s="343" t="str">
        <x:f>IF(H25=0,"مطابق","فرق يحتاج مراجعة")</x:f>
        <x:v>مطابق</x:v>
      </x:c>
      <x:c r="J25" s="343" t="n">
        <x:v>33</x:v>
      </x:c>
    </x:row>
    <x:row r="26" ht="34" customHeight="1">
      <x:c r="B26" s="342" t="str">
        <x:v>45</x:v>
      </x:c>
      <x:c r="C26" s="345" t="str">
        <x:v>رصيده الافتتاحي صفر</x:v>
      </x:c>
      <x:c r="D26" s="344" t="n">
        <x:f>SUMIFS('Data &amp; Targets'!$E$16:$E$58,'Data &amp; Targets'!$C$16:$C$58,B26)</x:f>
        <x:v>0</x:v>
      </x:c>
      <x:c r="E26" s="343" t="n">
        <x:v>47</x:v>
      </x:c>
      <x:c r="F26" s="343" t="n">
        <x:v>47</x:v>
      </x:c>
      <x:c r="G26" s="343" t="n">
        <x:f>E26-F26</x:f>
        <x:v>0</x:v>
      </x:c>
      <x:c r="H26" s="343" t="n">
        <x:f>D26-G26</x:f>
        <x:v>0</x:v>
      </x:c>
      <x:c r="I26" s="343" t="str">
        <x:f>IF(H26=0,"مطابق","فرق يحتاج مراجعة")</x:f>
        <x:v>مطابق</x:v>
      </x:c>
      <x:c r="J26" s="343" t="n">
        <x:v>31</x:v>
      </x:c>
    </x:row>
    <x:row r="27" ht="34" customHeight="1">
      <x:c r="B27" s="342" t="str">
        <x:v>46</x:v>
      </x:c>
      <x:c r="C27" s="345" t="str">
        <x:v>رصيده الافتتاحي صفر</x:v>
      </x:c>
      <x:c r="D27" s="344" t="n">
        <x:f>SUMIFS('Data &amp; Targets'!$E$16:$E$58,'Data &amp; Targets'!$C$16:$C$58,B27)</x:f>
        <x:v>0</x:v>
      </x:c>
      <x:c r="E27" s="343" t="n">
        <x:v>27</x:v>
      </x:c>
      <x:c r="F27" s="343" t="n">
        <x:v>27</x:v>
      </x:c>
      <x:c r="G27" s="343" t="n">
        <x:f>E27-F27</x:f>
        <x:v>0</x:v>
      </x:c>
      <x:c r="H27" s="343" t="n">
        <x:f>D27-G27</x:f>
        <x:v>0</x:v>
      </x:c>
      <x:c r="I27" s="343" t="str">
        <x:f>IF(H27=0,"مطابق","فرق يحتاج مراجعة")</x:f>
        <x:v>مطابق</x:v>
      </x:c>
      <x:c r="J27" s="343" t="n">
        <x:v>8</x:v>
      </x:c>
    </x:row>
    <x:row r="28" ht="34" customHeight="1">
      <x:c r="B28" s="342" t="str">
        <x:v>47</x:v>
      </x:c>
      <x:c r="C28" s="345" t="str">
        <x:v>رصيده الافتتاحي صفر</x:v>
      </x:c>
      <x:c r="D28" s="344" t="n">
        <x:f>SUMIFS('Data &amp; Targets'!$E$16:$E$58,'Data &amp; Targets'!$C$16:$C$58,B28)</x:f>
        <x:v>0</x:v>
      </x:c>
      <x:c r="E28" s="343" t="n">
        <x:v>201</x:v>
      </x:c>
      <x:c r="F28" s="343" t="n">
        <x:v>201</x:v>
      </x:c>
      <x:c r="G28" s="343" t="n">
        <x:f>E28-F28</x:f>
        <x:v>0</x:v>
      </x:c>
      <x:c r="H28" s="343" t="n">
        <x:f>D28-G28</x:f>
        <x:v>0</x:v>
      </x:c>
      <x:c r="I28" s="343" t="str">
        <x:f>IF(H28=0,"مطابق","فرق يحتاج مراجعة")</x:f>
        <x:v>مطابق</x:v>
      </x:c>
      <x:c r="J28" s="343" t="n">
        <x:v>5</x:v>
      </x:c>
    </x:row>
    <x:row r="29" ht="34" customHeight="1">
      <x:c r="B29" s="342" t="str">
        <x:v>49</x:v>
      </x:c>
      <x:c r="C29" s="345" t="str">
        <x:v>رصيده الافتتاحي صفر</x:v>
      </x:c>
      <x:c r="D29" s="344" t="n">
        <x:f>SUMIFS('Data &amp; Targets'!$E$16:$E$58,'Data &amp; Targets'!$C$16:$C$58,B29)</x:f>
        <x:v>0</x:v>
      </x:c>
      <x:c r="E29" s="343" t="n">
        <x:v>175</x:v>
      </x:c>
      <x:c r="F29" s="343" t="n">
        <x:v>175</x:v>
      </x:c>
      <x:c r="G29" s="343" t="n">
        <x:f>E29-F29</x:f>
        <x:v>0</x:v>
      </x:c>
      <x:c r="H29" s="343" t="n">
        <x:f>D29-G29</x:f>
        <x:v>0</x:v>
      </x:c>
      <x:c r="I29" s="343" t="str">
        <x:f>IF(H29=0,"مطابق","فرق يحتاج مراجعة")</x:f>
        <x:v>مطابق</x:v>
      </x:c>
      <x:c r="J29" s="343" t="n">
        <x:v>42</x:v>
      </x:c>
    </x:row>
    <x:row r="30" ht="34" customHeight="1">
      <x:c r="B30" s="342" t="str">
        <x:v>50</x:v>
      </x:c>
      <x:c r="C30" s="345" t="str">
        <x:v>رصيده الافتتاحي صفر</x:v>
      </x:c>
      <x:c r="D30" s="344" t="n">
        <x:f>SUMIFS('Data &amp; Targets'!$E$16:$E$58,'Data &amp; Targets'!$C$16:$C$58,B30)</x:f>
        <x:v>0</x:v>
      </x:c>
      <x:c r="E30" s="343" t="n">
        <x:v>1</x:v>
      </x:c>
      <x:c r="F30" s="343" t="n">
        <x:v>1</x:v>
      </x:c>
      <x:c r="G30" s="343" t="n">
        <x:f>E30-F30</x:f>
        <x:v>0</x:v>
      </x:c>
      <x:c r="H30" s="343" t="n">
        <x:f>D30-G30</x:f>
        <x:v>0</x:v>
      </x:c>
      <x:c r="I30" s="343" t="str">
        <x:f>IF(H30=0,"مطابق","فرق يحتاج مراجعة")</x:f>
        <x:v>مطابق</x:v>
      </x:c>
      <x:c r="J30" s="343" t="n">
        <x:v>2</x:v>
      </x:c>
    </x:row>
    <x:row r="31" ht="34" customHeight="1">
      <x:c r="B31" s="342" t="str">
        <x:v>52</x:v>
      </x:c>
      <x:c r="C31" s="345" t="str">
        <x:v>PCA300/2ml without button (TUOREN)</x:v>
      </x:c>
      <x:c r="D31" s="344" t="n">
        <x:f>SUMIFS('Data &amp; Targets'!$E$16:$E$58,'Data &amp; Targets'!$C$16:$C$58,B31)</x:f>
        <x:v>58</x:v>
      </x:c>
      <x:c r="E31" s="343" t="n">
        <x:v>375</x:v>
      </x:c>
      <x:c r="F31" s="343" t="n">
        <x:v>317</x:v>
      </x:c>
      <x:c r="G31" s="343" t="n">
        <x:f>E31-F31</x:f>
        <x:v>58</x:v>
      </x:c>
      <x:c r="H31" s="343" t="n">
        <x:f>D31-G31</x:f>
        <x:v>0</x:v>
      </x:c>
      <x:c r="I31" s="343" t="str">
        <x:f>IF(H31=0,"مطابق","فرق يحتاج مراجعة")</x:f>
        <x:v>مطابق</x:v>
      </x:c>
      <x:c r="J31" s="343" t="n">
        <x:v>8</x:v>
      </x:c>
    </x:row>
    <x:row r="32" ht="34" customHeight="1">
      <x:c r="B32" s="342" t="str">
        <x:v>53</x:v>
      </x:c>
      <x:c r="C32" s="345" t="str">
        <x:v>رصيده الافتتاحي صفر</x:v>
      </x:c>
      <x:c r="D32" s="344" t="n">
        <x:f>SUMIFS('Data &amp; Targets'!$E$16:$E$58,'Data &amp; Targets'!$C$16:$C$58,B32)</x:f>
        <x:v>0</x:v>
      </x:c>
      <x:c r="E32" s="343" t="n">
        <x:v>66</x:v>
      </x:c>
      <x:c r="F32" s="343" t="n">
        <x:v>66</x:v>
      </x:c>
      <x:c r="G32" s="343" t="n">
        <x:f>E32-F32</x:f>
        <x:v>0</x:v>
      </x:c>
      <x:c r="H32" s="343" t="n">
        <x:f>D32-G32</x:f>
        <x:v>0</x:v>
      </x:c>
      <x:c r="I32" s="343" t="str">
        <x:f>IF(H32=0,"مطابق","فرق يحتاج مراجعة")</x:f>
        <x:v>مطابق</x:v>
      </x:c>
      <x:c r="J32" s="343" t="n">
        <x:v>7</x:v>
      </x:c>
    </x:row>
    <x:row r="33" ht="34" customHeight="1">
      <x:c r="B33" s="342" t="str">
        <x:v>64</x:v>
      </x:c>
      <x:c r="C33" s="345" t="str">
        <x:v>رصيده الافتتاحي صفر</x:v>
      </x:c>
      <x:c r="D33" s="344" t="n">
        <x:f>SUMIFS('Data &amp; Targets'!$E$16:$E$58,'Data &amp; Targets'!$C$16:$C$58,B33)</x:f>
        <x:v>0</x:v>
      </x:c>
      <x:c r="E33" s="343" t="n">
        <x:v>4</x:v>
      </x:c>
      <x:c r="F33" s="343" t="n">
        <x:v>4</x:v>
      </x:c>
      <x:c r="G33" s="343" t="n">
        <x:f>E33-F33</x:f>
        <x:v>0</x:v>
      </x:c>
      <x:c r="H33" s="343" t="n">
        <x:f>D33-G33</x:f>
        <x:v>0</x:v>
      </x:c>
      <x:c r="I33" s="343" t="str">
        <x:f>IF(H33=0,"مطابق","فرق يحتاج مراجعة")</x:f>
        <x:v>مطابق</x:v>
      </x:c>
      <x:c r="J33" s="343" t="n">
        <x:v>2</x:v>
      </x:c>
    </x:row>
    <x:row r="34" ht="34" customHeight="1">
      <x:c r="B34" s="342" t="str">
        <x:v>65</x:v>
      </x:c>
      <x:c r="C34" s="345" t="str">
        <x:v>رصيده الافتتاحي صفر</x:v>
      </x:c>
      <x:c r="D34" s="344" t="n">
        <x:f>SUMIFS('Data &amp; Targets'!$E$16:$E$58,'Data &amp; Targets'!$C$16:$C$58,B34)</x:f>
        <x:v>0</x:v>
      </x:c>
      <x:c r="E34" s="343" t="n">
        <x:v>31</x:v>
      </x:c>
      <x:c r="F34" s="343" t="n">
        <x:v>31</x:v>
      </x:c>
      <x:c r="G34" s="343" t="n">
        <x:f>E34-F34</x:f>
        <x:v>0</x:v>
      </x:c>
      <x:c r="H34" s="343" t="n">
        <x:f>D34-G34</x:f>
        <x:v>0</x:v>
      </x:c>
      <x:c r="I34" s="343" t="str">
        <x:f>IF(H34=0,"مطابق","فرق يحتاج مراجعة")</x:f>
        <x:v>مطابق</x:v>
      </x:c>
      <x:c r="J34" s="343" t="n">
        <x:v>2</x:v>
      </x:c>
    </x:row>
    <x:row r="35" ht="34" customHeight="1">
      <x:c r="B35" s="342" t="str">
        <x:v>68</x:v>
      </x:c>
      <x:c r="C35" s="345" t="str">
        <x:v>رصيده الافتتاحي صفر</x:v>
      </x:c>
      <x:c r="D35" s="344" t="n">
        <x:f>SUMIFS('Data &amp; Targets'!$E$16:$E$58,'Data &amp; Targets'!$C$16:$C$58,B35)</x:f>
        <x:v>0</x:v>
      </x:c>
      <x:c r="E35" s="343" t="n">
        <x:v>48</x:v>
      </x:c>
      <x:c r="F35" s="343" t="n">
        <x:v>48</x:v>
      </x:c>
      <x:c r="G35" s="343" t="n">
        <x:f>E35-F35</x:f>
        <x:v>0</x:v>
      </x:c>
      <x:c r="H35" s="343" t="n">
        <x:f>D35-G35</x:f>
        <x:v>0</x:v>
      </x:c>
      <x:c r="I35" s="343" t="str">
        <x:f>IF(H35=0,"مطابق","فرق يحتاج مراجعة")</x:f>
        <x:v>مطابق</x:v>
      </x:c>
      <x:c r="J35" s="343" t="n">
        <x:v>2</x:v>
      </x:c>
    </x:row>
    <x:row r="36" ht="34" customHeight="1">
      <x:c r="B36" s="342" t="str">
        <x:v>70</x:v>
      </x:c>
      <x:c r="C36" s="345" t="str">
        <x:v>trocar 12mm unimicro</x:v>
      </x:c>
      <x:c r="D36" s="344" t="n">
        <x:f>SUMIFS('Data &amp; Targets'!$E$16:$E$58,'Data &amp; Targets'!$C$16:$C$58,B36)</x:f>
        <x:v>3083</x:v>
      </x:c>
      <x:c r="E36" s="343" t="n">
        <x:v>4896</x:v>
      </x:c>
      <x:c r="F36" s="343" t="n">
        <x:v>1813</x:v>
      </x:c>
      <x:c r="G36" s="343" t="n">
        <x:f>E36-F36</x:f>
        <x:v>3083</x:v>
      </x:c>
      <x:c r="H36" s="343" t="n">
        <x:f>D36-G36</x:f>
        <x:v>0</x:v>
      </x:c>
      <x:c r="I36" s="343" t="str">
        <x:f>IF(H36=0,"مطابق","فرق يحتاج مراجعة")</x:f>
        <x:v>مطابق</x:v>
      </x:c>
      <x:c r="J36" s="343" t="n">
        <x:v>89</x:v>
      </x:c>
    </x:row>
    <x:row r="37" ht="34" customHeight="1">
      <x:c r="B37" s="342" t="str">
        <x:v>71</x:v>
      </x:c>
      <x:c r="C37" s="345" t="str">
        <x:v>cannula 12mm unimicro</x:v>
      </x:c>
      <x:c r="D37" s="344" t="n">
        <x:f>SUMIFS('Data &amp; Targets'!$E$16:$E$58,'Data &amp; Targets'!$C$16:$C$58,B37)</x:f>
        <x:v>378</x:v>
      </x:c>
      <x:c r="E37" s="343" t="n">
        <x:v>1738</x:v>
      </x:c>
      <x:c r="F37" s="343" t="n">
        <x:v>1360</x:v>
      </x:c>
      <x:c r="G37" s="343" t="n">
        <x:f>E37-F37</x:f>
        <x:v>378</x:v>
      </x:c>
      <x:c r="H37" s="343" t="n">
        <x:f>D37-G37</x:f>
        <x:v>0</x:v>
      </x:c>
      <x:c r="I37" s="343" t="str">
        <x:f>IF(H37=0,"مطابق","فرق يحتاج مراجعة")</x:f>
        <x:v>مطابق</x:v>
      </x:c>
      <x:c r="J37" s="343" t="n">
        <x:v>54</x:v>
      </x:c>
    </x:row>
    <x:row r="38" ht="34" customHeight="1">
      <x:c r="B38" s="342" t="str">
        <x:v>72</x:v>
      </x:c>
      <x:c r="C38" s="345" t="str">
        <x:v>trocar 7-10mm unimicro</x:v>
      </x:c>
      <x:c r="D38" s="344" t="n">
        <x:f>SUMIFS('Data &amp; Targets'!$E$16:$E$58,'Data &amp; Targets'!$C$16:$C$58,B38)</x:f>
        <x:v>104</x:v>
      </x:c>
      <x:c r="E38" s="343" t="n">
        <x:v>1951</x:v>
      </x:c>
      <x:c r="F38" s="343" t="n">
        <x:v>1847</x:v>
      </x:c>
      <x:c r="G38" s="343" t="n">
        <x:f>E38-F38</x:f>
        <x:v>104</x:v>
      </x:c>
      <x:c r="H38" s="343" t="n">
        <x:f>D38-G38</x:f>
        <x:v>0</x:v>
      </x:c>
      <x:c r="I38" s="343" t="str">
        <x:f>IF(H38=0,"مطابق","فرق يحتاج مراجعة")</x:f>
        <x:v>مطابق</x:v>
      </x:c>
      <x:c r="J38" s="343" t="n">
        <x:v>57</x:v>
      </x:c>
    </x:row>
    <x:row r="39" ht="34" customHeight="1">
      <x:c r="B39" s="342" t="str">
        <x:v>75</x:v>
      </x:c>
      <x:c r="C39" s="345" t="str">
        <x:v>Exofin Topical Skin Adhesive 1g</x:v>
      </x:c>
      <x:c r="D39" s="344" t="n">
        <x:f>SUMIFS('Data &amp; Targets'!$E$16:$E$58,'Data &amp; Targets'!$C$16:$C$58,B39)</x:f>
        <x:v>276</x:v>
      </x:c>
      <x:c r="E39" s="343" t="n">
        <x:v>1811</x:v>
      </x:c>
      <x:c r="F39" s="343" t="n">
        <x:v>1535</x:v>
      </x:c>
      <x:c r="G39" s="343" t="n">
        <x:f>E39-F39</x:f>
        <x:v>276</x:v>
      </x:c>
      <x:c r="H39" s="343" t="n">
        <x:f>D39-G39</x:f>
        <x:v>0</x:v>
      </x:c>
      <x:c r="I39" s="343" t="str">
        <x:f>IF(H39=0,"مطابق","فرق يحتاج مراجعة")</x:f>
        <x:v>مطابق</x:v>
      </x:c>
      <x:c r="J39" s="343" t="n">
        <x:v>177</x:v>
      </x:c>
    </x:row>
    <x:row r="40" ht="34" customHeight="1">
      <x:c r="B40" s="342" t="str">
        <x:v>76</x:v>
      </x:c>
      <x:c r="C40" s="345" t="str">
        <x:v>رصيده الافتتاحي صفر</x:v>
      </x:c>
      <x:c r="D40" s="344" t="n">
        <x:f>SUMIFS('Data &amp; Targets'!$E$16:$E$58,'Data &amp; Targets'!$C$16:$C$58,B40)</x:f>
        <x:v>0</x:v>
      </x:c>
      <x:c r="E40" s="343" t="n">
        <x:v>5</x:v>
      </x:c>
      <x:c r="F40" s="343" t="n">
        <x:v>5</x:v>
      </x:c>
      <x:c r="G40" s="343" t="n">
        <x:f>E40-F40</x:f>
        <x:v>0</x:v>
      </x:c>
      <x:c r="H40" s="343" t="n">
        <x:f>D40-G40</x:f>
        <x:v>0</x:v>
      </x:c>
      <x:c r="I40" s="343" t="str">
        <x:f>IF(H40=0,"مطابق","فرق يحتاج مراجعة")</x:f>
        <x:v>مطابق</x:v>
      </x:c>
      <x:c r="J40" s="343" t="n">
        <x:v>2</x:v>
      </x:c>
    </x:row>
    <x:row r="41" ht="34" customHeight="1">
      <x:c r="B41" s="342" t="str">
        <x:v>77</x:v>
      </x:c>
      <x:c r="C41" s="345" t="str">
        <x:v>رصيده الافتتاحي صفر</x:v>
      </x:c>
      <x:c r="D41" s="344" t="n">
        <x:f>SUMIFS('Data &amp; Targets'!$E$16:$E$58,'Data &amp; Targets'!$C$16:$C$58,B41)</x:f>
        <x:v>0</x:v>
      </x:c>
      <x:c r="E41" s="343" t="n">
        <x:v>110</x:v>
      </x:c>
      <x:c r="F41" s="343" t="n">
        <x:v>110</x:v>
      </x:c>
      <x:c r="G41" s="343" t="n">
        <x:f>E41-F41</x:f>
        <x:v>0</x:v>
      </x:c>
      <x:c r="H41" s="343" t="n">
        <x:f>D41-G41</x:f>
        <x:v>0</x:v>
      </x:c>
      <x:c r="I41" s="343" t="str">
        <x:f>IF(H41=0,"مطابق","فرق يحتاج مراجعة")</x:f>
        <x:v>مطابق</x:v>
      </x:c>
      <x:c r="J41" s="343" t="n">
        <x:v>4</x:v>
      </x:c>
    </x:row>
    <x:row r="42" ht="34" customHeight="1">
      <x:c r="B42" s="342" t="str">
        <x:v>78</x:v>
      </x:c>
      <x:c r="C42" s="345" t="str">
        <x:v>رصيده الافتتاحي صفر</x:v>
      </x:c>
      <x:c r="D42" s="344" t="n">
        <x:f>SUMIFS('Data &amp; Targets'!$E$16:$E$58,'Data &amp; Targets'!$C$16:$C$58,B42)</x:f>
        <x:v>0</x:v>
      </x:c>
      <x:c r="E42" s="343" t="n">
        <x:v>9</x:v>
      </x:c>
      <x:c r="F42" s="343" t="n">
        <x:v>9</x:v>
      </x:c>
      <x:c r="G42" s="343" t="n">
        <x:f>E42-F42</x:f>
        <x:v>0</x:v>
      </x:c>
      <x:c r="H42" s="343" t="n">
        <x:f>D42-G42</x:f>
        <x:v>0</x:v>
      </x:c>
      <x:c r="I42" s="343" t="str">
        <x:f>IF(H42=0,"مطابق","فرق يحتاج مراجعة")</x:f>
        <x:v>مطابق</x:v>
      </x:c>
      <x:c r="J42" s="343" t="n">
        <x:v>6</x:v>
      </x:c>
    </x:row>
    <x:row r="43" ht="34" customHeight="1">
      <x:c r="B43" s="342" t="str">
        <x:v>83</x:v>
      </x:c>
      <x:c r="C43" s="345" t="str">
        <x:v>رصيده الافتتاحي صفر</x:v>
      </x:c>
      <x:c r="D43" s="344" t="n">
        <x:f>SUMIFS('Data &amp; Targets'!$E$16:$E$58,'Data &amp; Targets'!$C$16:$C$58,B43)</x:f>
        <x:v>0</x:v>
      </x:c>
      <x:c r="E43" s="343" t="n">
        <x:v>21</x:v>
      </x:c>
      <x:c r="F43" s="343" t="n">
        <x:v>21</x:v>
      </x:c>
      <x:c r="G43" s="343" t="n">
        <x:f>E43-F43</x:f>
        <x:v>0</x:v>
      </x:c>
      <x:c r="H43" s="343" t="n">
        <x:f>D43-G43</x:f>
        <x:v>0</x:v>
      </x:c>
      <x:c r="I43" s="343" t="str">
        <x:f>IF(H43=0,"مطابق","فرق يحتاج مراجعة")</x:f>
        <x:v>مطابق</x:v>
      </x:c>
      <x:c r="J43" s="343" t="n">
        <x:v>4</x:v>
      </x:c>
    </x:row>
    <x:row r="44" ht="34" customHeight="1">
      <x:c r="B44" s="342" t="str">
        <x:v>84</x:v>
      </x:c>
      <x:c r="C44" s="345" t="str">
        <x:v>رصيده الافتتاحي صفر</x:v>
      </x:c>
      <x:c r="D44" s="344" t="n">
        <x:f>SUMIFS('Data &amp; Targets'!$E$16:$E$58,'Data &amp; Targets'!$C$16:$C$58,B44)</x:f>
        <x:v>0</x:v>
      </x:c>
      <x:c r="E44" s="343" t="n">
        <x:v>12</x:v>
      </x:c>
      <x:c r="F44" s="343" t="n">
        <x:v>12</x:v>
      </x:c>
      <x:c r="G44" s="343" t="n">
        <x:f>E44-F44</x:f>
        <x:v>0</x:v>
      </x:c>
      <x:c r="H44" s="343" t="n">
        <x:f>D44-G44</x:f>
        <x:v>0</x:v>
      </x:c>
      <x:c r="I44" s="343" t="str">
        <x:f>IF(H44=0,"مطابق","فرق يحتاج مراجعة")</x:f>
        <x:v>مطابق</x:v>
      </x:c>
      <x:c r="J44" s="343" t="n">
        <x:v>5</x:v>
      </x:c>
    </x:row>
    <x:row r="45" ht="34" customHeight="1">
      <x:c r="B45" s="342" t="str">
        <x:v>85</x:v>
      </x:c>
      <x:c r="C45" s="345" t="str">
        <x:v>رصيده الافتتاحي صفر</x:v>
      </x:c>
      <x:c r="D45" s="344" t="n">
        <x:f>SUMIFS('Data &amp; Targets'!$E$16:$E$58,'Data &amp; Targets'!$C$16:$C$58,B45)</x:f>
        <x:v>0</x:v>
      </x:c>
      <x:c r="E45" s="343" t="n">
        <x:v>460</x:v>
      </x:c>
      <x:c r="F45" s="343" t="n">
        <x:v>460</x:v>
      </x:c>
      <x:c r="G45" s="343" t="n">
        <x:f>E45-F45</x:f>
        <x:v>0</x:v>
      </x:c>
      <x:c r="H45" s="343" t="n">
        <x:f>D45-G45</x:f>
        <x:v>0</x:v>
      </x:c>
      <x:c r="I45" s="343" t="str">
        <x:f>IF(H45=0,"مطابق","فرق يحتاج مراجعة")</x:f>
        <x:v>مطابق</x:v>
      </x:c>
      <x:c r="J45" s="343" t="n">
        <x:v>3</x:v>
      </x:c>
    </x:row>
    <x:row r="46" ht="34" customHeight="1">
      <x:c r="B46" s="342" t="str">
        <x:v>86</x:v>
      </x:c>
      <x:c r="C46" s="345" t="str">
        <x:v>رصيده الافتتاحي صفر</x:v>
      </x:c>
      <x:c r="D46" s="344" t="n">
        <x:f>SUMIFS('Data &amp; Targets'!$E$16:$E$58,'Data &amp; Targets'!$C$16:$C$58,B46)</x:f>
        <x:v>0</x:v>
      </x:c>
      <x:c r="E46" s="343" t="n">
        <x:v>31</x:v>
      </x:c>
      <x:c r="F46" s="343" t="n">
        <x:v>31</x:v>
      </x:c>
      <x:c r="G46" s="343" t="n">
        <x:f>E46-F46</x:f>
        <x:v>0</x:v>
      </x:c>
      <x:c r="H46" s="343" t="n">
        <x:f>D46-G46</x:f>
        <x:v>0</x:v>
      </x:c>
      <x:c r="I46" s="343" t="str">
        <x:f>IF(H46=0,"مطابق","فرق يحتاج مراجعة")</x:f>
        <x:v>مطابق</x:v>
      </x:c>
      <x:c r="J46" s="343" t="n">
        <x:v>5</x:v>
      </x:c>
    </x:row>
    <x:row r="47" ht="34" customHeight="1">
      <x:c r="B47" s="342" t="str">
        <x:v>89</x:v>
      </x:c>
      <x:c r="C47" s="345" t="str">
        <x:v>رصيده الافتتاحي صفر</x:v>
      </x:c>
      <x:c r="D47" s="344" t="n">
        <x:f>SUMIFS('Data &amp; Targets'!$E$16:$E$58,'Data &amp; Targets'!$C$16:$C$58,B47)</x:f>
        <x:v>0</x:v>
      </x:c>
      <x:c r="E47" s="343" t="n">
        <x:v>52</x:v>
      </x:c>
      <x:c r="F47" s="343" t="n">
        <x:v>52</x:v>
      </x:c>
      <x:c r="G47" s="343" t="n">
        <x:f>E47-F47</x:f>
        <x:v>0</x:v>
      </x:c>
      <x:c r="H47" s="343" t="n">
        <x:f>D47-G47</x:f>
        <x:v>0</x:v>
      </x:c>
      <x:c r="I47" s="343" t="str">
        <x:f>IF(H47=0,"مطابق","فرق يحتاج مراجعة")</x:f>
        <x:v>مطابق</x:v>
      </x:c>
      <x:c r="J47" s="343" t="n">
        <x:v>15</x:v>
      </x:c>
    </x:row>
    <x:row r="48" ht="34" customHeight="1">
      <x:c r="B48" s="342" t="str">
        <x:v>90</x:v>
      </x:c>
      <x:c r="C48" s="345" t="str">
        <x:v>cannula 7-10mm unimicro</x:v>
      </x:c>
      <x:c r="D48" s="344" t="n">
        <x:f>SUMIFS('Data &amp; Targets'!$E$16:$E$58,'Data &amp; Targets'!$C$16:$C$58,B48)</x:f>
        <x:v>232</x:v>
      </x:c>
      <x:c r="E48" s="343" t="n">
        <x:v>428</x:v>
      </x:c>
      <x:c r="F48" s="343" t="n">
        <x:v>196</x:v>
      </x:c>
      <x:c r="G48" s="343" t="n">
        <x:f>E48-F48</x:f>
        <x:v>232</x:v>
      </x:c>
      <x:c r="H48" s="343" t="n">
        <x:f>D48-G48</x:f>
        <x:v>0</x:v>
      </x:c>
      <x:c r="I48" s="343" t="str">
        <x:f>IF(H48=0,"مطابق","فرق يحتاج مراجعة")</x:f>
        <x:v>مطابق</x:v>
      </x:c>
      <x:c r="J48" s="343" t="n">
        <x:v>11</x:v>
      </x:c>
    </x:row>
    <x:row r="49" ht="34" customHeight="1">
      <x:c r="B49" s="342" t="str">
        <x:v>91</x:v>
      </x:c>
      <x:c r="C49" s="345" t="str">
        <x:v>رصيده الافتتاحي صفر</x:v>
      </x:c>
      <x:c r="D49" s="344" t="n">
        <x:f>SUMIFS('Data &amp; Targets'!$E$16:$E$58,'Data &amp; Targets'!$C$16:$C$58,B49)</x:f>
        <x:v>0</x:v>
      </x:c>
      <x:c r="E49" s="343" t="n">
        <x:v>509</x:v>
      </x:c>
      <x:c r="F49" s="343" t="n">
        <x:v>509</x:v>
      </x:c>
      <x:c r="G49" s="343" t="n">
        <x:f>E49-F49</x:f>
        <x:v>0</x:v>
      </x:c>
      <x:c r="H49" s="343" t="n">
        <x:f>D49-G49</x:f>
        <x:v>0</x:v>
      </x:c>
      <x:c r="I49" s="343" t="str">
        <x:f>IF(H49=0,"مطابق","فرق يحتاج مراجعة")</x:f>
        <x:v>مطابق</x:v>
      </x:c>
      <x:c r="J49" s="343" t="n">
        <x:v>6</x:v>
      </x:c>
    </x:row>
    <x:row r="50" ht="34" customHeight="1">
      <x:c r="B50" s="342" t="str">
        <x:v>92</x:v>
      </x:c>
      <x:c r="C50" s="345" t="str">
        <x:v>رصيده الافتتاحي صفر</x:v>
      </x:c>
      <x:c r="D50" s="344" t="n">
        <x:f>SUMIFS('Data &amp; Targets'!$E$16:$E$58,'Data &amp; Targets'!$C$16:$C$58,B50)</x:f>
        <x:v>0</x:v>
      </x:c>
      <x:c r="E50" s="343" t="n">
        <x:v>345</x:v>
      </x:c>
      <x:c r="F50" s="343" t="n">
        <x:v>345</x:v>
      </x:c>
      <x:c r="G50" s="343" t="n">
        <x:f>E50-F50</x:f>
        <x:v>0</x:v>
      </x:c>
      <x:c r="H50" s="343" t="n">
        <x:f>D50-G50</x:f>
        <x:v>0</x:v>
      </x:c>
      <x:c r="I50" s="343" t="str">
        <x:f>IF(H50=0,"مطابق","فرق يحتاج مراجعة")</x:f>
        <x:v>مطابق</x:v>
      </x:c>
      <x:c r="J50" s="343" t="n">
        <x:v>5</x:v>
      </x:c>
    </x:row>
    <x:row r="51" ht="34" customHeight="1">
      <x:c r="B51" s="342" t="str">
        <x:v>94</x:v>
      </x:c>
      <x:c r="C51" s="345" t="str">
        <x:v>trocar percion size 12mm</x:v>
      </x:c>
      <x:c r="D51" s="344" t="n">
        <x:f>SUMIFS('Data &amp; Targets'!$E$16:$E$58,'Data &amp; Targets'!$C$16:$C$58,B51)</x:f>
        <x:v>128</x:v>
      </x:c>
      <x:c r="E51" s="343" t="n">
        <x:v>181</x:v>
      </x:c>
      <x:c r="F51" s="343" t="n">
        <x:v>53</x:v>
      </x:c>
      <x:c r="G51" s="343" t="n">
        <x:f>E51-F51</x:f>
        <x:v>128</x:v>
      </x:c>
      <x:c r="H51" s="343" t="n">
        <x:f>D51-G51</x:f>
        <x:v>0</x:v>
      </x:c>
      <x:c r="I51" s="343" t="str">
        <x:f>IF(H51=0,"مطابق","فرق يحتاج مراجعة")</x:f>
        <x:v>مطابق</x:v>
      </x:c>
      <x:c r="J51" s="343" t="n">
        <x:v>16</x:v>
      </x:c>
    </x:row>
    <x:row r="52" ht="34" customHeight="1">
      <x:c r="B52" s="342" t="str">
        <x:v>96</x:v>
      </x:c>
      <x:c r="C52" s="345" t="str">
        <x:v>رصيده الافتتاحي صفر</x:v>
      </x:c>
      <x:c r="D52" s="344" t="n">
        <x:f>SUMIFS('Data &amp; Targets'!$E$16:$E$58,'Data &amp; Targets'!$C$16:$C$58,B52)</x:f>
        <x:v>0</x:v>
      </x:c>
      <x:c r="E52" s="343" t="n">
        <x:v>18</x:v>
      </x:c>
      <x:c r="F52" s="343" t="n">
        <x:v>18</x:v>
      </x:c>
      <x:c r="G52" s="343" t="n">
        <x:f>E52-F52</x:f>
        <x:v>0</x:v>
      </x:c>
      <x:c r="H52" s="343" t="n">
        <x:f>D52-G52</x:f>
        <x:v>0</x:v>
      </x:c>
      <x:c r="I52" s="343" t="str">
        <x:f>IF(H52=0,"مطابق","فرق يحتاج مراجعة")</x:f>
        <x:v>مطابق</x:v>
      </x:c>
      <x:c r="J52" s="343" t="n">
        <x:v>2</x:v>
      </x:c>
    </x:row>
    <x:row r="53" ht="34" customHeight="1">
      <x:c r="B53" s="342" t="str">
        <x:v>97</x:v>
      </x:c>
      <x:c r="C53" s="345" t="str">
        <x:v>رصيده الافتتاحي صفر</x:v>
      </x:c>
      <x:c r="D53" s="344" t="n">
        <x:f>SUMIFS('Data &amp; Targets'!$E$16:$E$58,'Data &amp; Targets'!$C$16:$C$58,B53)</x:f>
        <x:v>0</x:v>
      </x:c>
      <x:c r="E53" s="343" t="n">
        <x:v>20</x:v>
      </x:c>
      <x:c r="F53" s="343" t="n">
        <x:v>20</x:v>
      </x:c>
      <x:c r="G53" s="343" t="n">
        <x:f>E53-F53</x:f>
        <x:v>0</x:v>
      </x:c>
      <x:c r="H53" s="343" t="n">
        <x:f>D53-G53</x:f>
        <x:v>0</x:v>
      </x:c>
      <x:c r="I53" s="343" t="str">
        <x:f>IF(H53=0,"مطابق","فرق يحتاج مراجعة")</x:f>
        <x:v>مطابق</x:v>
      </x:c>
      <x:c r="J53" s="343" t="n">
        <x:v>2</x:v>
      </x:c>
    </x:row>
    <x:row r="54" ht="34" customHeight="1">
      <x:c r="B54" s="342" t="str">
        <x:v>100</x:v>
      </x:c>
      <x:c r="C54" s="345" t="str">
        <x:v>Surg-Spon Hemostatic Powder 1g</x:v>
      </x:c>
      <x:c r="D54" s="344" t="n">
        <x:f>SUMIFS('Data &amp; Targets'!$E$16:$E$58,'Data &amp; Targets'!$C$16:$C$58,B54)</x:f>
        <x:v>203</x:v>
      </x:c>
      <x:c r="E54" s="343" t="n">
        <x:v>317</x:v>
      </x:c>
      <x:c r="F54" s="343" t="n">
        <x:v>114</x:v>
      </x:c>
      <x:c r="G54" s="343" t="n">
        <x:f>E54-F54</x:f>
        <x:v>203</x:v>
      </x:c>
      <x:c r="H54" s="343" t="n">
        <x:f>D54-G54</x:f>
        <x:v>0</x:v>
      </x:c>
      <x:c r="I54" s="343" t="str">
        <x:f>IF(H54=0,"مطابق","فرق يحتاج مراجعة")</x:f>
        <x:v>مطابق</x:v>
      </x:c>
      <x:c r="J54" s="343" t="n">
        <x:v>53</x:v>
      </x:c>
    </x:row>
    <x:row r="55" ht="34" customHeight="1">
      <x:c r="B55" s="342" t="str">
        <x:v>101</x:v>
      </x:c>
      <x:c r="C55" s="345" t="str">
        <x:v>Powered endoscopic stapler 60mm</x:v>
      </x:c>
      <x:c r="D55" s="344" t="n">
        <x:f>SUMIFS('Data &amp; Targets'!$E$16:$E$58,'Data &amp; Targets'!$C$16:$C$58,B55)</x:f>
        <x:v>7</x:v>
      </x:c>
      <x:c r="E55" s="343" t="n">
        <x:v>99</x:v>
      </x:c>
      <x:c r="F55" s="343" t="n">
        <x:v>92</x:v>
      </x:c>
      <x:c r="G55" s="343" t="n">
        <x:f>E55-F55</x:f>
        <x:v>7</x:v>
      </x:c>
      <x:c r="H55" s="343" t="n">
        <x:f>D55-G55</x:f>
        <x:v>0</x:v>
      </x:c>
      <x:c r="I55" s="343" t="str">
        <x:f>IF(H55=0,"مطابق","فرق يحتاج مراجعة")</x:f>
        <x:v>مطابق</x:v>
      </x:c>
      <x:c r="J55" s="343" t="n">
        <x:v>86</x:v>
      </x:c>
    </x:row>
    <x:row r="56" ht="34" customHeight="1">
      <x:c r="B56" s="342" t="str">
        <x:v>102</x:v>
      </x:c>
      <x:c r="C56" s="345" t="str">
        <x:v>Surg-Spon Hemostatic Powder 3g</x:v>
      </x:c>
      <x:c r="D56" s="344" t="n">
        <x:f>SUMIFS('Data &amp; Targets'!$E$16:$E$58,'Data &amp; Targets'!$C$16:$C$58,B56)</x:f>
        <x:v>59</x:v>
      </x:c>
      <x:c r="E56" s="343" t="n">
        <x:v>61</x:v>
      </x:c>
      <x:c r="F56" s="343" t="n">
        <x:v>2</x:v>
      </x:c>
      <x:c r="G56" s="343" t="n">
        <x:f>E56-F56</x:f>
        <x:v>59</x:v>
      </x:c>
      <x:c r="H56" s="343" t="n">
        <x:f>D56-G56</x:f>
        <x:v>0</x:v>
      </x:c>
      <x:c r="I56" s="343" t="str">
        <x:f>IF(H56=0,"مطابق","فرق يحتاج مراجعة")</x:f>
        <x:v>مطابق</x:v>
      </x:c>
      <x:c r="J56" s="343" t="n">
        <x:v>4</x:v>
      </x:c>
    </x:row>
    <x:row r="57" ht="34" customHeight="1">
      <x:c r="B57" s="342" t="str">
        <x:v>103</x:v>
      </x:c>
      <x:c r="C57" s="345" t="str">
        <x:v>Sterile Applcator 38m</x:v>
      </x:c>
      <x:c r="D57" s="344" t="n">
        <x:f>SUMIFS('Data &amp; Targets'!$E$16:$E$58,'Data &amp; Targets'!$C$16:$C$58,B57)</x:f>
        <x:v>2</x:v>
      </x:c>
      <x:c r="E57" s="343" t="n">
        <x:v>4</x:v>
      </x:c>
      <x:c r="F57" s="343" t="n">
        <x:v>2</x:v>
      </x:c>
      <x:c r="G57" s="343" t="n">
        <x:f>E57-F57</x:f>
        <x:v>2</x:v>
      </x:c>
      <x:c r="H57" s="343" t="n">
        <x:f>D57-G57</x:f>
        <x:v>0</x:v>
      </x:c>
      <x:c r="I57" s="343" t="str">
        <x:f>IF(H57=0,"مطابق","فرق يحتاج مراجعة")</x:f>
        <x:v>مطابق</x:v>
      </x:c>
      <x:c r="J57" s="343" t="n">
        <x:v>5</x:v>
      </x:c>
    </x:row>
    <x:row r="58" ht="34" customHeight="1">
      <x:c r="B58" s="342" t="str">
        <x:v>104</x:v>
      </x:c>
      <x:c r="C58" s="345" t="str">
        <x:v>رصيده الافتتاحي صفر</x:v>
      </x:c>
      <x:c r="D58" s="344" t="n">
        <x:f>SUMIFS('Data &amp; Targets'!$E$16:$E$58,'Data &amp; Targets'!$C$16:$C$58,B58)</x:f>
        <x:v>0</x:v>
      </x:c>
      <x:c r="E58" s="343" t="n">
        <x:v>35</x:v>
      </x:c>
      <x:c r="F58" s="343" t="n">
        <x:v>35</x:v>
      </x:c>
      <x:c r="G58" s="343" t="n">
        <x:f>E58-F58</x:f>
        <x:v>0</x:v>
      </x:c>
      <x:c r="H58" s="343" t="n">
        <x:f>D58-G58</x:f>
        <x:v>0</x:v>
      </x:c>
      <x:c r="I58" s="343" t="str">
        <x:f>IF(H58=0,"مطابق","فرق يحتاج مراجعة")</x:f>
        <x:v>مطابق</x:v>
      </x:c>
      <x:c r="J58" s="343" t="n">
        <x:v>2</x:v>
      </x:c>
    </x:row>
    <x:row r="59" ht="34" customHeight="1">
      <x:c r="B59" s="342" t="str">
        <x:v>105</x:v>
      </x:c>
      <x:c r="C59" s="345" t="str">
        <x:v>Blue reload 60mm</x:v>
      </x:c>
      <x:c r="D59" s="344" t="n">
        <x:f>SUMIFS('Data &amp; Targets'!$E$16:$E$58,'Data &amp; Targets'!$C$16:$C$58,B59)</x:f>
        <x:v>920</x:v>
      </x:c>
      <x:c r="E59" s="343" t="n">
        <x:v>7652</x:v>
      </x:c>
      <x:c r="F59" s="343" t="n">
        <x:v>6732</x:v>
      </x:c>
      <x:c r="G59" s="343" t="n">
        <x:f>E59-F59</x:f>
        <x:v>920</x:v>
      </x:c>
      <x:c r="H59" s="343" t="n">
        <x:f>D59-G59</x:f>
        <x:v>0</x:v>
      </x:c>
      <x:c r="I59" s="343" t="str">
        <x:f>IF(H59=0,"مطابق","فرق يحتاج مراجعة")</x:f>
        <x:v>مطابق</x:v>
      </x:c>
      <x:c r="J59" s="343" t="n">
        <x:v>161</x:v>
      </x:c>
    </x:row>
    <x:row r="60" ht="34" customHeight="1">
      <x:c r="B60" s="342" t="str">
        <x:v>106</x:v>
      </x:c>
      <x:c r="C60" s="345" t="str">
        <x:v>Green reload 60mm</x:v>
      </x:c>
      <x:c r="D60" s="344" t="n">
        <x:f>SUMIFS('Data &amp; Targets'!$E$16:$E$58,'Data &amp; Targets'!$C$16:$C$58,B60)</x:f>
        <x:v>380</x:v>
      </x:c>
      <x:c r="E60" s="343" t="n">
        <x:v>3602</x:v>
      </x:c>
      <x:c r="F60" s="343" t="n">
        <x:v>3222</x:v>
      </x:c>
      <x:c r="G60" s="343" t="n">
        <x:f>E60-F60</x:f>
        <x:v>380</x:v>
      </x:c>
      <x:c r="H60" s="343" t="n">
        <x:f>D60-G60</x:f>
        <x:v>0</x:v>
      </x:c>
      <x:c r="I60" s="343" t="str">
        <x:f>IF(H60=0,"مطابق","فرق يحتاج مراجعة")</x:f>
        <x:v>مطابق</x:v>
      </x:c>
      <x:c r="J60" s="343" t="n">
        <x:v>161</x:v>
      </x:c>
    </x:row>
    <x:row r="61" ht="34" customHeight="1">
      <x:c r="B61" s="342" t="str">
        <x:v>107</x:v>
      </x:c>
      <x:c r="C61" s="345" t="str">
        <x:v>Gold reload 60mm</x:v>
      </x:c>
      <x:c r="D61" s="344" t="n">
        <x:f>SUMIFS('Data &amp; Targets'!$E$16:$E$58,'Data &amp; Targets'!$C$16:$C$58,B61)</x:f>
        <x:v>193</x:v>
      </x:c>
      <x:c r="E61" s="343" t="n">
        <x:v>1700</x:v>
      </x:c>
      <x:c r="F61" s="343" t="n">
        <x:v>1507</x:v>
      </x:c>
      <x:c r="G61" s="343" t="n">
        <x:f>E61-F61</x:f>
        <x:v>193</x:v>
      </x:c>
      <x:c r="H61" s="343" t="n">
        <x:f>D61-G61</x:f>
        <x:v>0</x:v>
      </x:c>
      <x:c r="I61" s="343" t="str">
        <x:f>IF(H61=0,"مطابق","فرق يحتاج مراجعة")</x:f>
        <x:v>مطابق</x:v>
      </x:c>
      <x:c r="J61" s="343" t="n">
        <x:v>127</x:v>
      </x:c>
    </x:row>
    <x:row r="62" ht="34" customHeight="1">
      <x:c r="B62" s="342" t="str">
        <x:v>108</x:v>
      </x:c>
      <x:c r="C62" s="345" t="str">
        <x:v>Black reload 60mm</x:v>
      </x:c>
      <x:c r="D62" s="344" t="n">
        <x:f>SUMIFS('Data &amp; Targets'!$E$16:$E$58,'Data &amp; Targets'!$C$16:$C$58,B62)</x:f>
        <x:v>71</x:v>
      </x:c>
      <x:c r="E62" s="343" t="n">
        <x:v>872</x:v>
      </x:c>
      <x:c r="F62" s="343" t="n">
        <x:v>801</x:v>
      </x:c>
      <x:c r="G62" s="343" t="n">
        <x:f>E62-F62</x:f>
        <x:v>71</x:v>
      </x:c>
      <x:c r="H62" s="343" t="n">
        <x:f>D62-G62</x:f>
        <x:v>0</x:v>
      </x:c>
      <x:c r="I62" s="343" t="str">
        <x:f>IF(H62=0,"مطابق","فرق يحتاج مراجعة")</x:f>
        <x:v>مطابق</x:v>
      </x:c>
      <x:c r="J62" s="343" t="n">
        <x:v>101</x:v>
      </x:c>
    </x:row>
    <x:row r="63" ht="34" customHeight="1">
      <x:c r="B63" s="342" t="str">
        <x:v>109</x:v>
      </x:c>
      <x:c r="C63" s="345" t="str">
        <x:v>رصيده الافتتاحي صفر</x:v>
      </x:c>
      <x:c r="D63" s="344" t="n">
        <x:f>SUMIFS('Data &amp; Targets'!$E$16:$E$58,'Data &amp; Targets'!$C$16:$C$58,B63)</x:f>
        <x:v>0</x:v>
      </x:c>
      <x:c r="E63" s="343" t="n">
        <x:v>230</x:v>
      </x:c>
      <x:c r="F63" s="343" t="n">
        <x:v>230</x:v>
      </x:c>
      <x:c r="G63" s="343" t="n">
        <x:f>E63-F63</x:f>
        <x:v>0</x:v>
      </x:c>
      <x:c r="H63" s="343" t="n">
        <x:f>D63-G63</x:f>
        <x:v>0</x:v>
      </x:c>
      <x:c r="I63" s="343" t="str">
        <x:f>IF(H63=0,"مطابق","فرق يحتاج مراجعة")</x:f>
        <x:v>مطابق</x:v>
      </x:c>
      <x:c r="J63" s="343" t="n">
        <x:v>3</x:v>
      </x:c>
    </x:row>
    <x:row r="64" ht="34" customHeight="1">
      <x:c r="B64" s="342" t="str">
        <x:v>110</x:v>
      </x:c>
      <x:c r="C64" s="345" t="str">
        <x:v>رصيده الافتتاحي صفر</x:v>
      </x:c>
      <x:c r="D64" s="344" t="n">
        <x:f>SUMIFS('Data &amp; Targets'!$E$16:$E$58,'Data &amp; Targets'!$C$16:$C$58,B64)</x:f>
        <x:v>0</x:v>
      </x:c>
      <x:c r="E64" s="343" t="n">
        <x:v>31</x:v>
      </x:c>
      <x:c r="F64" s="343" t="n">
        <x:v>31</x:v>
      </x:c>
      <x:c r="G64" s="343" t="n">
        <x:f>E64-F64</x:f>
        <x:v>0</x:v>
      </x:c>
      <x:c r="H64" s="343" t="n">
        <x:f>D64-G64</x:f>
        <x:v>0</x:v>
      </x:c>
      <x:c r="I64" s="343" t="str">
        <x:f>IF(H64=0,"مطابق","فرق يحتاج مراجعة")</x:f>
        <x:v>مطابق</x:v>
      </x:c>
      <x:c r="J64" s="343" t="n">
        <x:v>5</x:v>
      </x:c>
    </x:row>
    <x:row r="65" ht="34" customHeight="1">
      <x:c r="B65" s="342" t="str">
        <x:v>111</x:v>
      </x:c>
      <x:c r="C65" s="345" t="str">
        <x:v>رصيده الافتتاحي صفر</x:v>
      </x:c>
      <x:c r="D65" s="344" t="n">
        <x:f>SUMIFS('Data &amp; Targets'!$E$16:$E$58,'Data &amp; Targets'!$C$16:$C$58,B65)</x:f>
        <x:v>0</x:v>
      </x:c>
      <x:c r="E65" s="343" t="n">
        <x:v>10</x:v>
      </x:c>
      <x:c r="F65" s="343" t="n">
        <x:v>10</x:v>
      </x:c>
      <x:c r="G65" s="343" t="n">
        <x:f>E65-F65</x:f>
        <x:v>0</x:v>
      </x:c>
      <x:c r="H65" s="343" t="n">
        <x:f>D65-G65</x:f>
        <x:v>0</x:v>
      </x:c>
      <x:c r="I65" s="343" t="str">
        <x:f>IF(H65=0,"مطابق","فرق يحتاج مراجعة")</x:f>
        <x:v>مطابق</x:v>
      </x:c>
      <x:c r="J65" s="343" t="n">
        <x:v>2</x:v>
      </x:c>
    </x:row>
    <x:row r="66" ht="34" customHeight="1">
      <x:c r="B66" s="342" t="str">
        <x:v>112</x:v>
      </x:c>
      <x:c r="C66" s="345" t="str">
        <x:v>رصيده الافتتاحي صفر</x:v>
      </x:c>
      <x:c r="D66" s="344" t="n">
        <x:f>SUMIFS('Data &amp; Targets'!$E$16:$E$58,'Data &amp; Targets'!$C$16:$C$58,B66)</x:f>
        <x:v>0</x:v>
      </x:c>
      <x:c r="E66" s="343" t="n">
        <x:v>1</x:v>
      </x:c>
      <x:c r="F66" s="343" t="n">
        <x:v>1</x:v>
      </x:c>
      <x:c r="G66" s="343" t="n">
        <x:f>E66-F66</x:f>
        <x:v>0</x:v>
      </x:c>
      <x:c r="H66" s="343" t="n">
        <x:f>D66-G66</x:f>
        <x:v>0</x:v>
      </x:c>
      <x:c r="I66" s="343" t="str">
        <x:f>IF(H66=0,"مطابق","فرق يحتاج مراجعة")</x:f>
        <x:v>مطابق</x:v>
      </x:c>
      <x:c r="J66" s="343" t="n">
        <x:v>2</x:v>
      </x:c>
    </x:row>
    <x:row r="67" ht="34" customHeight="1">
      <x:c r="B67" s="342" t="str">
        <x:v>113</x:v>
      </x:c>
      <x:c r="C67" s="345" t="str">
        <x:v>Panther black reload (CADA-60R5.0)</x:v>
      </x:c>
      <x:c r="D67" s="344" t="n">
        <x:f>SUMIFS('Data &amp; Targets'!$E$16:$E$58,'Data &amp; Targets'!$C$16:$C$58,B67)</x:f>
        <x:v>1</x:v>
      </x:c>
      <x:c r="E67" s="343" t="n">
        <x:v>1</x:v>
      </x:c>
      <x:c r="F67" s="343" t="n">
        <x:v>0</x:v>
      </x:c>
      <x:c r="G67" s="343" t="n">
        <x:f>E67-F67</x:f>
        <x:v>1</x:v>
      </x:c>
      <x:c r="H67" s="343" t="n">
        <x:f>D67-G67</x:f>
        <x:v>0</x:v>
      </x:c>
      <x:c r="I67" s="343" t="str">
        <x:f>IF(H67=0,"مطابق","فرق يحتاج مراجعة")</x:f>
        <x:v>مطابق</x:v>
      </x:c>
      <x:c r="J67" s="343" t="n">
        <x:v>1</x:v>
      </x:c>
    </x:row>
    <x:row r="68" ht="34" customHeight="1">
      <x:c r="B68" s="342" t="str">
        <x:v>114</x:v>
      </x:c>
      <x:c r="C68" s="345" t="str">
        <x:v>EEG Paste ( Cream ) Elektro / 200 gr</x:v>
      </x:c>
      <x:c r="D68" s="344" t="n">
        <x:f>SUMIFS('Data &amp; Targets'!$E$16:$E$58,'Data &amp; Targets'!$C$16:$C$58,B68)</x:f>
        <x:v>2</x:v>
      </x:c>
      <x:c r="E68" s="343" t="n">
        <x:v>43</x:v>
      </x:c>
      <x:c r="F68" s="343" t="n">
        <x:v>41</x:v>
      </x:c>
      <x:c r="G68" s="343" t="n">
        <x:f>E68-F68</x:f>
        <x:v>2</x:v>
      </x:c>
      <x:c r="H68" s="343" t="n">
        <x:f>D68-G68</x:f>
        <x:v>0</x:v>
      </x:c>
      <x:c r="I68" s="343" t="str">
        <x:f>IF(H68=0,"مطابق","فرق يحتاج مراجعة")</x:f>
        <x:v>مطابق</x:v>
      </x:c>
      <x:c r="J68" s="343" t="n">
        <x:v>19</x:v>
      </x:c>
    </x:row>
    <x:row r="69" ht="34" customHeight="1">
      <x:c r="B69" s="342" t="str">
        <x:v>115</x:v>
      </x:c>
      <x:c r="C69" s="345" t="str">
        <x:v>EEG Paste ( Cream ) Wave /250 gr</x:v>
      </x:c>
      <x:c r="D69" s="344" t="n">
        <x:f>SUMIFS('Data &amp; Targets'!$E$16:$E$58,'Data &amp; Targets'!$C$16:$C$58,B69)</x:f>
        <x:v>10</x:v>
      </x:c>
      <x:c r="E69" s="343" t="n">
        <x:v>774</x:v>
      </x:c>
      <x:c r="F69" s="343" t="n">
        <x:v>764</x:v>
      </x:c>
      <x:c r="G69" s="343" t="n">
        <x:f>E69-F69</x:f>
        <x:v>10</x:v>
      </x:c>
      <x:c r="H69" s="343" t="n">
        <x:f>D69-G69</x:f>
        <x:v>0</x:v>
      </x:c>
      <x:c r="I69" s="343" t="str">
        <x:f>IF(H69=0,"مطابق","فرق يحتاج مراجعة")</x:f>
        <x:v>مطابق</x:v>
      </x:c>
      <x:c r="J69" s="343" t="n">
        <x:v>41</x:v>
      </x:c>
    </x:row>
    <x:row r="70" ht="34" customHeight="1">
      <x:c r="B70" s="342" t="str">
        <x:v>116</x:v>
      </x:c>
      <x:c r="C70" s="345" t="str">
        <x:v>رصيده الافتتاحي صفر</x:v>
      </x:c>
      <x:c r="D70" s="344" t="n">
        <x:f>SUMIFS('Data &amp; Targets'!$E$16:$E$58,'Data &amp; Targets'!$C$16:$C$58,B70)</x:f>
        <x:v>0</x:v>
      </x:c>
      <x:c r="E70" s="343" t="n">
        <x:v>4</x:v>
      </x:c>
      <x:c r="F70" s="343" t="n">
        <x:v>4</x:v>
      </x:c>
      <x:c r="G70" s="343" t="n">
        <x:f>E70-F70</x:f>
        <x:v>0</x:v>
      </x:c>
      <x:c r="H70" s="343" t="n">
        <x:f>D70-G70</x:f>
        <x:v>0</x:v>
      </x:c>
      <x:c r="I70" s="343" t="str">
        <x:f>IF(H70=0,"مطابق","فرق يحتاج مراجعة")</x:f>
        <x:v>مطابق</x:v>
      </x:c>
      <x:c r="J70" s="343" t="n">
        <x:v>5</x:v>
      </x:c>
    </x:row>
    <x:row r="71" ht="34" customHeight="1">
      <x:c r="B71" s="342" t="str">
        <x:v>117</x:v>
      </x:c>
      <x:c r="C71" s="345" t="str">
        <x:v>رصيده الافتتاحي صفر</x:v>
      </x:c>
      <x:c r="D71" s="344" t="n">
        <x:f>SUMIFS('Data &amp; Targets'!$E$16:$E$58,'Data &amp; Targets'!$C$16:$C$58,B71)</x:f>
        <x:v>0</x:v>
      </x:c>
      <x:c r="E71" s="343" t="n">
        <x:v>0</x:v>
      </x:c>
      <x:c r="F71" s="343" t="n">
        <x:v>0</x:v>
      </x:c>
      <x:c r="G71" s="343" t="n">
        <x:f>E71-F71</x:f>
        <x:v>0</x:v>
      </x:c>
      <x:c r="H71" s="343" t="n">
        <x:f>D71-G71</x:f>
        <x:v>0</x:v>
      </x:c>
      <x:c r="I71" s="343" t="str">
        <x:f>IF(H71=0,"مطابق","فرق يحتاج مراجعة")</x:f>
        <x:v>مطابق</x:v>
      </x:c>
      <x:c r="J71" s="343" t="n">
        <x:v>0</x:v>
      </x:c>
    </x:row>
    <x:row r="72" ht="34" customHeight="1">
      <x:c r="B72" s="342" t="str">
        <x:v>118</x:v>
      </x:c>
      <x:c r="C72" s="345" t="str">
        <x:v>EEG Electrodes_PURE SILVER_1500mm  (Pack of 12)</x:v>
      </x:c>
      <x:c r="D72" s="344" t="n">
        <x:f>SUMIFS('Data &amp; Targets'!$E$16:$E$58,'Data &amp; Targets'!$C$16:$C$58,B72)</x:f>
        <x:v>1</x:v>
      </x:c>
      <x:c r="E72" s="343" t="n">
        <x:v>8</x:v>
      </x:c>
      <x:c r="F72" s="343" t="n">
        <x:v>7</x:v>
      </x:c>
      <x:c r="G72" s="343" t="n">
        <x:f>E72-F72</x:f>
        <x:v>1</x:v>
      </x:c>
      <x:c r="H72" s="343" t="n">
        <x:f>D72-G72</x:f>
        <x:v>0</x:v>
      </x:c>
      <x:c r="I72" s="343" t="str">
        <x:f>IF(H72=0,"مطابق","فرق يحتاج مراجعة")</x:f>
        <x:v>مطابق</x:v>
      </x:c>
      <x:c r="J72" s="343" t="n">
        <x:v>6</x:v>
      </x:c>
    </x:row>
    <x:row r="73" ht="34" customHeight="1">
      <x:c r="B73" s="342" t="str">
        <x:v>119</x:v>
      </x:c>
      <x:c r="C73" s="345" t="str">
        <x:v>رصيده الافتتاحي صفر</x:v>
      </x:c>
      <x:c r="D73" s="344" t="n">
        <x:f>SUMIFS('Data &amp; Targets'!$E$16:$E$58,'Data &amp; Targets'!$C$16:$C$58,B73)</x:f>
        <x:v>0</x:v>
      </x:c>
      <x:c r="E73" s="343" t="n">
        <x:v>0</x:v>
      </x:c>
      <x:c r="F73" s="343" t="n">
        <x:v>0</x:v>
      </x:c>
      <x:c r="G73" s="343" t="n">
        <x:f>E73-F73</x:f>
        <x:v>0</x:v>
      </x:c>
      <x:c r="H73" s="343" t="n">
        <x:f>D73-G73</x:f>
        <x:v>0</x:v>
      </x:c>
      <x:c r="I73" s="343" t="str">
        <x:f>IF(H73=0,"مطابق","فرق يحتاج مراجعة")</x:f>
        <x:v>مطابق</x:v>
      </x:c>
      <x:c r="J73" s="343" t="n">
        <x:v>0</x:v>
      </x:c>
    </x:row>
    <x:row r="74" ht="34" customHeight="1">
      <x:c r="B74" s="342" t="str">
        <x:v>120</x:v>
      </x:c>
      <x:c r="C74" s="345" t="str">
        <x:v>رصيده الافتتاحي صفر</x:v>
      </x:c>
      <x:c r="D74" s="344" t="n">
        <x:f>SUMIFS('Data &amp; Targets'!$E$16:$E$58,'Data &amp; Targets'!$C$16:$C$58,B74)</x:f>
        <x:v>0</x:v>
      </x:c>
      <x:c r="E74" s="343" t="n">
        <x:v>0</x:v>
      </x:c>
      <x:c r="F74" s="343" t="n">
        <x:v>0</x:v>
      </x:c>
      <x:c r="G74" s="343" t="n">
        <x:f>E74-F74</x:f>
        <x:v>0</x:v>
      </x:c>
      <x:c r="H74" s="343" t="n">
        <x:f>D74-G74</x:f>
        <x:v>0</x:v>
      </x:c>
      <x:c r="I74" s="343" t="str">
        <x:f>IF(H74=0,"مطابق","فرق يحتاج مراجعة")</x:f>
        <x:v>مطابق</x:v>
      </x:c>
      <x:c r="J74" s="343" t="n">
        <x:v>0</x:v>
      </x:c>
    </x:row>
    <x:row r="75" ht="34" customHeight="1">
      <x:c r="B75" s="342" t="str">
        <x:v>121</x:v>
      </x:c>
      <x:c r="C75" s="345" t="str">
        <x:v>رصيده الافتتاحي صفر</x:v>
      </x:c>
      <x:c r="D75" s="344" t="n">
        <x:f>SUMIFS('Data &amp; Targets'!$E$16:$E$58,'Data &amp; Targets'!$C$16:$C$58,B75)</x:f>
        <x:v>0</x:v>
      </x:c>
      <x:c r="E75" s="343" t="n">
        <x:v>0</x:v>
      </x:c>
      <x:c r="F75" s="343" t="n">
        <x:v>0</x:v>
      </x:c>
      <x:c r="G75" s="343" t="n">
        <x:f>E75-F75</x:f>
        <x:v>0</x:v>
      </x:c>
      <x:c r="H75" s="343" t="n">
        <x:f>D75-G75</x:f>
        <x:v>0</x:v>
      </x:c>
      <x:c r="I75" s="343" t="str">
        <x:f>IF(H75=0,"مطابق","فرق يحتاج مراجعة")</x:f>
        <x:v>مطابق</x:v>
      </x:c>
      <x:c r="J75" s="343" t="n">
        <x:v>0</x:v>
      </x:c>
    </x:row>
    <x:row r="76" ht="34" customHeight="1">
      <x:c r="B76" s="342" t="str">
        <x:v>122</x:v>
      </x:c>
      <x:c r="C76" s="345" t="str">
        <x:v>رصيده الافتتاحي صفر</x:v>
      </x:c>
      <x:c r="D76" s="344" t="n">
        <x:f>SUMIFS('Data &amp; Targets'!$E$16:$E$58,'Data &amp; Targets'!$C$16:$C$58,B76)</x:f>
        <x:v>0</x:v>
      </x:c>
      <x:c r="E76" s="343" t="n">
        <x:v>0</x:v>
      </x:c>
      <x:c r="F76" s="343" t="n">
        <x:v>0</x:v>
      </x:c>
      <x:c r="G76" s="343" t="n">
        <x:f>E76-F76</x:f>
        <x:v>0</x:v>
      </x:c>
      <x:c r="H76" s="343" t="n">
        <x:f>D76-G76</x:f>
        <x:v>0</x:v>
      </x:c>
      <x:c r="I76" s="343" t="str">
        <x:f>IF(H76=0,"مطابق","فرق يحتاج مراجعة")</x:f>
        <x:v>مطابق</x:v>
      </x:c>
      <x:c r="J76" s="343" t="n">
        <x:v>0</x:v>
      </x:c>
    </x:row>
    <x:row r="77" ht="34" customHeight="1">
      <x:c r="B77" s="342" t="str">
        <x:v>123</x:v>
      </x:c>
      <x:c r="C77" s="345" t="str">
        <x:v>رصيده الافتتاحي صفر</x:v>
      </x:c>
      <x:c r="D77" s="344" t="n">
        <x:f>SUMIFS('Data &amp; Targets'!$E$16:$E$58,'Data &amp; Targets'!$C$16:$C$58,B77)</x:f>
        <x:v>0</x:v>
      </x:c>
      <x:c r="E77" s="343" t="n">
        <x:v>0</x:v>
      </x:c>
      <x:c r="F77" s="343" t="n">
        <x:v>0</x:v>
      </x:c>
      <x:c r="G77" s="343" t="n">
        <x:f>E77-F77</x:f>
        <x:v>0</x:v>
      </x:c>
      <x:c r="H77" s="343" t="n">
        <x:f>D77-G77</x:f>
        <x:v>0</x:v>
      </x:c>
      <x:c r="I77" s="343" t="str">
        <x:f>IF(H77=0,"مطابق","فرق يحتاج مراجعة")</x:f>
        <x:v>مطابق</x:v>
      </x:c>
      <x:c r="J77" s="343" t="n">
        <x:v>0</x:v>
      </x:c>
    </x:row>
    <x:row r="78" ht="34" customHeight="1">
      <x:c r="B78" s="342" t="str">
        <x:v>124</x:v>
      </x:c>
      <x:c r="C78" s="345" t="str">
        <x:v>رصيده الافتتاحي صفر</x:v>
      </x:c>
      <x:c r="D78" s="344" t="n">
        <x:f>SUMIFS('Data &amp; Targets'!$E$16:$E$58,'Data &amp; Targets'!$C$16:$C$58,B78)</x:f>
        <x:v>0</x:v>
      </x:c>
      <x:c r="E78" s="343" t="n">
        <x:v>0</x:v>
      </x:c>
      <x:c r="F78" s="343" t="n">
        <x:v>0</x:v>
      </x:c>
      <x:c r="G78" s="343" t="n">
        <x:f>E78-F78</x:f>
        <x:v>0</x:v>
      </x:c>
      <x:c r="H78" s="343" t="n">
        <x:f>D78-G78</x:f>
        <x:v>0</x:v>
      </x:c>
      <x:c r="I78" s="343" t="str">
        <x:f>IF(H78=0,"مطابق","فرق يحتاج مراجعة")</x:f>
        <x:v>مطابق</x:v>
      </x:c>
      <x:c r="J78" s="343" t="n">
        <x:v>0</x:v>
      </x:c>
    </x:row>
    <x:row r="79" ht="34" customHeight="1">
      <x:c r="B79" s="342" t="str">
        <x:v>125</x:v>
      </x:c>
      <x:c r="C79" s="345" t="str">
        <x:v>Skin Preparation Gel (Neuprep) 100 gr</x:v>
      </x:c>
      <x:c r="D79" s="344" t="n">
        <x:f>SUMIFS('Data &amp; Targets'!$E$16:$E$58,'Data &amp; Targets'!$C$16:$C$58,B79)</x:f>
        <x:v>3</x:v>
      </x:c>
      <x:c r="E79" s="343" t="n">
        <x:v>6</x:v>
      </x:c>
      <x:c r="F79" s="343" t="n">
        <x:v>3</x:v>
      </x:c>
      <x:c r="G79" s="343" t="n">
        <x:f>E79-F79</x:f>
        <x:v>3</x:v>
      </x:c>
      <x:c r="H79" s="343" t="n">
        <x:f>D79-G79</x:f>
        <x:v>0</x:v>
      </x:c>
      <x:c r="I79" s="343" t="str">
        <x:f>IF(H79=0,"مطابق","فرق يحتاج مراجعة")</x:f>
        <x:v>مطابق</x:v>
      </x:c>
      <x:c r="J79" s="343" t="n">
        <x:v>3</x:v>
      </x:c>
    </x:row>
    <x:row r="80" ht="34" customHeight="1">
      <x:c r="B80" s="342" t="str">
        <x:v>126</x:v>
      </x:c>
      <x:c r="C80" s="345" t="str">
        <x:v>Skin Preparation Gel (Neuprep)  150 gr</x:v>
      </x:c>
      <x:c r="D80" s="344" t="n">
        <x:f>SUMIFS('Data &amp; Targets'!$E$16:$E$58,'Data &amp; Targets'!$C$16:$C$58,B80)</x:f>
        <x:v>5</x:v>
      </x:c>
      <x:c r="E80" s="343" t="n">
        <x:v>10</x:v>
      </x:c>
      <x:c r="F80" s="343" t="n">
        <x:v>5</x:v>
      </x:c>
      <x:c r="G80" s="343" t="n">
        <x:f>E80-F80</x:f>
        <x:v>5</x:v>
      </x:c>
      <x:c r="H80" s="343" t="n">
        <x:f>D80-G80</x:f>
        <x:v>0</x:v>
      </x:c>
      <x:c r="I80" s="343" t="str">
        <x:f>IF(H80=0,"مطابق","فرق يحتاج مراجعة")</x:f>
        <x:v>مطابق</x:v>
      </x:c>
      <x:c r="J80" s="343" t="n">
        <x:v>3</x:v>
      </x:c>
    </x:row>
    <x:row r="81" ht="34" customHeight="1">
      <x:c r="B81" s="342" t="str">
        <x:v>127</x:v>
      </x:c>
      <x:c r="C81" s="345" t="str">
        <x:v>رصيده الافتتاحي صفر</x:v>
      </x:c>
      <x:c r="D81" s="344" t="n">
        <x:f>SUMIFS('Data &amp; Targets'!$E$16:$E$58,'Data &amp; Targets'!$C$16:$C$58,B81)</x:f>
        <x:v>0</x:v>
      </x:c>
      <x:c r="E81" s="343" t="n">
        <x:v>0</x:v>
      </x:c>
      <x:c r="F81" s="343" t="n">
        <x:v>0</x:v>
      </x:c>
      <x:c r="G81" s="343" t="n">
        <x:f>E81-F81</x:f>
        <x:v>0</x:v>
      </x:c>
      <x:c r="H81" s="343" t="n">
        <x:f>D81-G81</x:f>
        <x:v>0</x:v>
      </x:c>
      <x:c r="I81" s="343" t="str">
        <x:f>IF(H81=0,"مطابق","فرق يحتاج مراجعة")</x:f>
        <x:v>مطابق</x:v>
      </x:c>
      <x:c r="J81" s="343" t="n">
        <x:v>0</x:v>
      </x:c>
    </x:row>
    <x:row r="82" ht="34" customHeight="1">
      <x:c r="B82" s="342" t="str">
        <x:v>128</x:v>
      </x:c>
      <x:c r="C82" s="345" t="str">
        <x:v>رصيده الافتتاحي صفر</x:v>
      </x:c>
      <x:c r="D82" s="344" t="n">
        <x:f>SUMIFS('Data &amp; Targets'!$E$16:$E$58,'Data &amp; Targets'!$C$16:$C$58,B82)</x:f>
        <x:v>0</x:v>
      </x:c>
      <x:c r="E82" s="343" t="n">
        <x:v>1</x:v>
      </x:c>
      <x:c r="F82" s="343" t="n">
        <x:v>1</x:v>
      </x:c>
      <x:c r="G82" s="343" t="n">
        <x:f>E82-F82</x:f>
        <x:v>0</x:v>
      </x:c>
      <x:c r="H82" s="343" t="n">
        <x:f>D82-G82</x:f>
        <x:v>0</x:v>
      </x:c>
      <x:c r="I82" s="343" t="str">
        <x:f>IF(H82=0,"مطابق","فرق يحتاج مراجعة")</x:f>
        <x:v>مطابق</x:v>
      </x:c>
      <x:c r="J82" s="343" t="n">
        <x:v>2</x:v>
      </x:c>
    </x:row>
    <x:row r="83" ht="34" customHeight="1">
      <x:c r="B83" s="342" t="str">
        <x:v>129</x:v>
      </x:c>
      <x:c r="C83" s="345" t="str">
        <x:v>Patient Ground_STRAP   (ONE CABLE)</x:v>
      </x:c>
      <x:c r="D83" s="344" t="n">
        <x:f>SUMIFS('Data &amp; Targets'!$E$16:$E$58,'Data &amp; Targets'!$C$16:$C$58,B83)</x:f>
        <x:v>1</x:v>
      </x:c>
      <x:c r="E83" s="343" t="n">
        <x:v>3</x:v>
      </x:c>
      <x:c r="F83" s="343" t="n">
        <x:v>2</x:v>
      </x:c>
      <x:c r="G83" s="343" t="n">
        <x:f>E83-F83</x:f>
        <x:v>1</x:v>
      </x:c>
      <x:c r="H83" s="343" t="n">
        <x:f>D83-G83</x:f>
        <x:v>0</x:v>
      </x:c>
      <x:c r="I83" s="343" t="str">
        <x:f>IF(H83=0,"مطابق","فرق يحتاج مراجعة")</x:f>
        <x:v>مطابق</x:v>
      </x:c>
      <x:c r="J83" s="343" t="n">
        <x:v>5</x:v>
      </x:c>
    </x:row>
    <x:row r="84" ht="34" customHeight="1">
      <x:c r="B84" s="342" t="str">
        <x:v>130</x:v>
      </x:c>
      <x:c r="C84" s="345" t="str">
        <x:v>رصيده الافتتاحي صفر</x:v>
      </x:c>
      <x:c r="D84" s="344" t="n">
        <x:f>SUMIFS('Data &amp; Targets'!$E$16:$E$58,'Data &amp; Targets'!$C$16:$C$58,B84)</x:f>
        <x:v>0</x:v>
      </x:c>
      <x:c r="E84" s="343" t="n">
        <x:v>0</x:v>
      </x:c>
      <x:c r="F84" s="343" t="n">
        <x:v>0</x:v>
      </x:c>
      <x:c r="G84" s="343" t="n">
        <x:f>E84-F84</x:f>
        <x:v>0</x:v>
      </x:c>
      <x:c r="H84" s="343" t="n">
        <x:f>D84-G84</x:f>
        <x:v>0</x:v>
      </x:c>
      <x:c r="I84" s="343" t="str">
        <x:f>IF(H84=0,"مطابق","فرق يحتاج مراجعة")</x:f>
        <x:v>مطابق</x:v>
      </x:c>
      <x:c r="J84" s="343" t="n">
        <x:v>0</x:v>
      </x:c>
    </x:row>
    <x:row r="85" ht="34" customHeight="1">
      <x:c r="B85" s="342" t="str">
        <x:v>131</x:v>
      </x:c>
      <x:c r="C85" s="345" t="str">
        <x:v>رصيده الافتتاحي صفر</x:v>
      </x:c>
      <x:c r="D85" s="344" t="n">
        <x:f>SUMIFS('Data &amp; Targets'!$E$16:$E$58,'Data &amp; Targets'!$C$16:$C$58,B85)</x:f>
        <x:v>0</x:v>
      </x:c>
      <x:c r="E85" s="343" t="n">
        <x:v>1</x:v>
      </x:c>
      <x:c r="F85" s="343" t="n">
        <x:v>1</x:v>
      </x:c>
      <x:c r="G85" s="343" t="n">
        <x:f>E85-F85</x:f>
        <x:v>0</x:v>
      </x:c>
      <x:c r="H85" s="343" t="n">
        <x:f>D85-G85</x:f>
        <x:v>0</x:v>
      </x:c>
      <x:c r="I85" s="343" t="str">
        <x:f>IF(H85=0,"مطابق","فرق يحتاج مراجعة")</x:f>
        <x:v>مطابق</x:v>
      </x:c>
      <x:c r="J85" s="343" t="n">
        <x:v>2</x:v>
      </x:c>
    </x:row>
    <x:row r="86" ht="34" customHeight="1">
      <x:c r="B86" s="342" t="str">
        <x:v>132</x:v>
      </x:c>
      <x:c r="C86" s="345" t="str">
        <x:v>رصيده الافتتاحي صفر</x:v>
      </x:c>
      <x:c r="D86" s="344" t="n">
        <x:f>SUMIFS('Data &amp; Targets'!$E$16:$E$58,'Data &amp; Targets'!$C$16:$C$58,B86)</x:f>
        <x:v>0</x:v>
      </x:c>
      <x:c r="E86" s="343" t="n">
        <x:v>0</x:v>
      </x:c>
      <x:c r="F86" s="343" t="n">
        <x:v>0</x:v>
      </x:c>
      <x:c r="G86" s="343" t="n">
        <x:f>E86-F86</x:f>
        <x:v>0</x:v>
      </x:c>
      <x:c r="H86" s="343" t="n">
        <x:f>D86-G86</x:f>
        <x:v>0</x:v>
      </x:c>
      <x:c r="I86" s="343" t="str">
        <x:f>IF(H86=0,"مطابق","فرق يحتاج مراجعة")</x:f>
        <x:v>مطابق</x:v>
      </x:c>
      <x:c r="J86" s="343" t="n">
        <x:v>0</x:v>
      </x:c>
    </x:row>
    <x:row r="87" ht="34" customHeight="1">
      <x:c r="B87" s="342" t="str">
        <x:v>133</x:v>
      </x:c>
      <x:c r="C87" s="345" t="str">
        <x:v>رصيده الافتتاحي صفر</x:v>
      </x:c>
      <x:c r="D87" s="344" t="n">
        <x:f>SUMIFS('Data &amp; Targets'!$E$16:$E$58,'Data &amp; Targets'!$C$16:$C$58,B87)</x:f>
        <x:v>0</x:v>
      </x:c>
      <x:c r="E87" s="343" t="n">
        <x:v>0</x:v>
      </x:c>
      <x:c r="F87" s="343" t="n">
        <x:v>0</x:v>
      </x:c>
      <x:c r="G87" s="343" t="n">
        <x:f>E87-F87</x:f>
        <x:v>0</x:v>
      </x:c>
      <x:c r="H87" s="343" t="n">
        <x:f>D87-G87</x:f>
        <x:v>0</x:v>
      </x:c>
      <x:c r="I87" s="343" t="str">
        <x:f>IF(H87=0,"مطابق","فرق يحتاج مراجعة")</x:f>
        <x:v>مطابق</x:v>
      </x:c>
      <x:c r="J87" s="343" t="n">
        <x:v>0</x:v>
      </x:c>
    </x:row>
    <x:row r="88" ht="34" customHeight="1">
      <x:c r="B88" s="342" t="str">
        <x:v>134</x:v>
      </x:c>
      <x:c r="C88" s="345" t="str">
        <x:v>رصيده الافتتاحي صفر</x:v>
      </x:c>
      <x:c r="D88" s="344" t="n">
        <x:f>SUMIFS('Data &amp; Targets'!$E$16:$E$58,'Data &amp; Targets'!$C$16:$C$58,B88)</x:f>
        <x:v>0</x:v>
      </x:c>
      <x:c r="E88" s="343" t="n">
        <x:v>0</x:v>
      </x:c>
      <x:c r="F88" s="343" t="n">
        <x:v>0</x:v>
      </x:c>
      <x:c r="G88" s="343" t="n">
        <x:f>E88-F88</x:f>
        <x:v>0</x:v>
      </x:c>
      <x:c r="H88" s="343" t="n">
        <x:f>D88-G88</x:f>
        <x:v>0</x:v>
      </x:c>
      <x:c r="I88" s="343" t="str">
        <x:f>IF(H88=0,"مطابق","فرق يحتاج مراجعة")</x:f>
        <x:v>مطابق</x:v>
      </x:c>
      <x:c r="J88" s="343" t="n">
        <x:v>0</x:v>
      </x:c>
    </x:row>
    <x:row r="89" ht="34" customHeight="1">
      <x:c r="B89" s="342" t="str">
        <x:v>135</x:v>
      </x:c>
      <x:c r="C89" s="345" t="str">
        <x:v>رصيده الافتتاحي صفر</x:v>
      </x:c>
      <x:c r="D89" s="344" t="n">
        <x:f>SUMIFS('Data &amp; Targets'!$E$16:$E$58,'Data &amp; Targets'!$C$16:$C$58,B89)</x:f>
        <x:v>0</x:v>
      </x:c>
      <x:c r="E89" s="343" t="n">
        <x:v>0</x:v>
      </x:c>
      <x:c r="F89" s="343" t="n">
        <x:v>0</x:v>
      </x:c>
      <x:c r="G89" s="343" t="n">
        <x:f>E89-F89</x:f>
        <x:v>0</x:v>
      </x:c>
      <x:c r="H89" s="343" t="n">
        <x:f>D89-G89</x:f>
        <x:v>0</x:v>
      </x:c>
      <x:c r="I89" s="343" t="str">
        <x:f>IF(H89=0,"مطابق","فرق يحتاج مراجعة")</x:f>
        <x:v>مطابق</x:v>
      </x:c>
      <x:c r="J89" s="343" t="n">
        <x:v>0</x:v>
      </x:c>
    </x:row>
    <x:row r="90" ht="34" customHeight="1">
      <x:c r="B90" s="342" t="str">
        <x:v>136</x:v>
      </x:c>
      <x:c r="C90" s="345" t="str">
        <x:v>EMG Needle holder</x:v>
      </x:c>
      <x:c r="D90" s="344" t="n">
        <x:f>SUMIFS('Data &amp; Targets'!$E$16:$E$58,'Data &amp; Targets'!$C$16:$C$58,B90)</x:f>
        <x:v>1</x:v>
      </x:c>
      <x:c r="E90" s="343" t="n">
        <x:v>7</x:v>
      </x:c>
      <x:c r="F90" s="343" t="n">
        <x:v>6</x:v>
      </x:c>
      <x:c r="G90" s="343" t="n">
        <x:f>E90-F90</x:f>
        <x:v>1</x:v>
      </x:c>
      <x:c r="H90" s="343" t="n">
        <x:f>D90-G90</x:f>
        <x:v>0</x:v>
      </x:c>
      <x:c r="I90" s="343" t="str">
        <x:f>IF(H90=0,"مطابق","فرق يحتاج مراجعة")</x:f>
        <x:v>مطابق</x:v>
      </x:c>
      <x:c r="J90" s="343" t="n">
        <x:v>13</x:v>
      </x:c>
    </x:row>
    <x:row r="91" ht="34" customHeight="1">
      <x:c r="B91" s="342" t="str">
        <x:v>137</x:v>
      </x:c>
      <x:c r="C91" s="345" t="str">
        <x:v>Oryx EMG Needle 5 cm disposable for neurophysiology ( yellow)</x:v>
      </x:c>
      <x:c r="D91" s="344" t="n">
        <x:f>SUMIFS('Data &amp; Targets'!$E$16:$E$58,'Data &amp; Targets'!$C$16:$C$58,B91)</x:f>
        <x:v>7</x:v>
      </x:c>
      <x:c r="E91" s="343" t="n">
        <x:v>778</x:v>
      </x:c>
      <x:c r="F91" s="343" t="n">
        <x:v>771</x:v>
      </x:c>
      <x:c r="G91" s="343" t="n">
        <x:f>E91-F91</x:f>
        <x:v>7</x:v>
      </x:c>
      <x:c r="H91" s="343" t="n">
        <x:f>D91-G91</x:f>
        <x:v>0</x:v>
      </x:c>
      <x:c r="I91" s="343" t="str">
        <x:f>IF(H91=0,"مطابق","فرق يحتاج مراجعة")</x:f>
        <x:v>مطابق</x:v>
      </x:c>
      <x:c r="J91" s="343" t="n">
        <x:v>25</x:v>
      </x:c>
    </x:row>
    <x:row r="92" ht="34" customHeight="1">
      <x:c r="B92" s="342" t="str">
        <x:v>138</x:v>
      </x:c>
      <x:c r="C92" s="345" t="str">
        <x:v>Oryx EMG Needle 3.8 cm</x:v>
      </x:c>
      <x:c r="D92" s="344" t="n">
        <x:f>SUMIFS('Data &amp; Targets'!$E$16:$E$58,'Data &amp; Targets'!$C$16:$C$58,B92)</x:f>
        <x:v>3</x:v>
      </x:c>
      <x:c r="E92" s="343" t="n">
        <x:v>311</x:v>
      </x:c>
      <x:c r="F92" s="343" t="n">
        <x:v>308</x:v>
      </x:c>
      <x:c r="G92" s="343" t="n">
        <x:f>E92-F92</x:f>
        <x:v>3</x:v>
      </x:c>
      <x:c r="H92" s="343" t="n">
        <x:f>D92-G92</x:f>
        <x:v>0</x:v>
      </x:c>
      <x:c r="I92" s="343" t="str">
        <x:f>IF(H92=0,"مطابق","فرق يحتاج مراجعة")</x:f>
        <x:v>مطابق</x:v>
      </x:c>
      <x:c r="J92" s="343" t="n">
        <x:v>17</x:v>
      </x:c>
    </x:row>
    <x:row r="93" ht="34" customHeight="1">
      <x:c r="B93" s="342" t="str">
        <x:v>139</x:v>
      </x:c>
      <x:c r="C93" s="345" t="str">
        <x:v>paste cream demo</x:v>
      </x:c>
      <x:c r="D93" s="344" t="n">
        <x:f>SUMIFS('Data &amp; Targets'!$E$16:$E$58,'Data &amp; Targets'!$C$16:$C$58,B93)</x:f>
        <x:v>6</x:v>
      </x:c>
      <x:c r="E93" s="343" t="n">
        <x:v>41</x:v>
      </x:c>
      <x:c r="F93" s="343" t="n">
        <x:v>35</x:v>
      </x:c>
      <x:c r="G93" s="343" t="n">
        <x:f>E93-F93</x:f>
        <x:v>6</x:v>
      </x:c>
      <x:c r="H93" s="343" t="n">
        <x:f>D93-G93</x:f>
        <x:v>0</x:v>
      </x:c>
      <x:c r="I93" s="343" t="str">
        <x:f>IF(H93=0,"مطابق","فرق يحتاج مراجعة")</x:f>
        <x:v>مطابق</x:v>
      </x:c>
      <x:c r="J93" s="343" t="n">
        <x:v>43</x:v>
      </x:c>
    </x:row>
    <x:row r="94" ht="34" customHeight="1">
      <x:c r="B94" s="342" t="str">
        <x:v>140</x:v>
      </x:c>
      <x:c r="C94" s="345" t="str">
        <x:v>رصيده الافتتاحي صفر</x:v>
      </x:c>
      <x:c r="D94" s="344" t="n">
        <x:f>SUMIFS('Data &amp; Targets'!$E$16:$E$58,'Data &amp; Targets'!$C$16:$C$58,B94)</x:f>
        <x:v>0</x:v>
      </x:c>
      <x:c r="E94" s="343" t="n">
        <x:v>4</x:v>
      </x:c>
      <x:c r="F94" s="343" t="n">
        <x:v>4</x:v>
      </x:c>
      <x:c r="G94" s="343" t="n">
        <x:f>E94-F94</x:f>
        <x:v>0</x:v>
      </x:c>
      <x:c r="H94" s="343" t="n">
        <x:f>D94-G94</x:f>
        <x:v>0</x:v>
      </x:c>
      <x:c r="I94" s="343" t="str">
        <x:f>IF(H94=0,"مطابق","فرق يحتاج مراجعة")</x:f>
        <x:v>مطابق</x:v>
      </x:c>
      <x:c r="J94" s="343" t="n">
        <x:v>2</x:v>
      </x:c>
    </x:row>
    <x:row r="95" ht="34" customHeight="1">
      <x:c r="B95" s="342" t="str">
        <x:v>141</x:v>
      </x:c>
      <x:c r="C95" s="345" t="str">
        <x:v>HEMO STATIC POWDER 2g</x:v>
      </x:c>
      <x:c r="D95" s="344" t="n">
        <x:f>SUMIFS('Data &amp; Targets'!$E$16:$E$58,'Data &amp; Targets'!$C$16:$C$58,B95)</x:f>
        <x:v>33</x:v>
      </x:c>
      <x:c r="E95" s="343" t="n">
        <x:v>143</x:v>
      </x:c>
      <x:c r="F95" s="343" t="n">
        <x:v>110</x:v>
      </x:c>
      <x:c r="G95" s="343" t="n">
        <x:f>E95-F95</x:f>
        <x:v>33</x:v>
      </x:c>
      <x:c r="H95" s="343" t="n">
        <x:f>D95-G95</x:f>
        <x:v>0</x:v>
      </x:c>
      <x:c r="I95" s="343" t="str">
        <x:f>IF(H95=0,"مطابق","فرق يحتاج مراجعة")</x:f>
        <x:v>مطابق</x:v>
      </x:c>
      <x:c r="J95" s="343" t="n">
        <x:v>36</x:v>
      </x:c>
    </x:row>
    <x:row r="96" ht="34" customHeight="1">
      <x:c r="B96" s="342" t="str">
        <x:v>142</x:v>
      </x:c>
      <x:c r="C96" s="345" t="str">
        <x:v>PCA 275/5 ML With button (Fornia)</x:v>
      </x:c>
      <x:c r="D96" s="344" t="n">
        <x:f>SUMIFS('Data &amp; Targets'!$E$16:$E$58,'Data &amp; Targets'!$C$16:$C$58,B96)</x:f>
        <x:v>1541</x:v>
      </x:c>
      <x:c r="E96" s="343" t="n">
        <x:v>6842</x:v>
      </x:c>
      <x:c r="F96" s="343" t="n">
        <x:v>5301</x:v>
      </x:c>
      <x:c r="G96" s="343" t="n">
        <x:f>E96-F96</x:f>
        <x:v>1541</x:v>
      </x:c>
      <x:c r="H96" s="343" t="n">
        <x:f>D96-G96</x:f>
        <x:v>0</x:v>
      </x:c>
      <x:c r="I96" s="343" t="str">
        <x:f>IF(H96=0,"مطابق","فرق يحتاج مراجعة")</x:f>
        <x:v>مطابق</x:v>
      </x:c>
      <x:c r="J96" s="343" t="n">
        <x:v>217</x:v>
      </x:c>
    </x:row>
    <x:row r="97" ht="34" customHeight="1">
      <x:c r="B97" s="342" t="str">
        <x:v>143</x:v>
      </x:c>
      <x:c r="C97" s="345" t="str">
        <x:v>PCA 100/2 ML With button (Fornia)</x:v>
      </x:c>
      <x:c r="D97" s="344" t="n">
        <x:f>SUMIFS('Data &amp; Targets'!$E$16:$E$58,'Data &amp; Targets'!$C$16:$C$58,B97)</x:f>
        <x:v>1651</x:v>
      </x:c>
      <x:c r="E97" s="343" t="n">
        <x:v>3133</x:v>
      </x:c>
      <x:c r="F97" s="343" t="n">
        <x:v>1482</x:v>
      </x:c>
      <x:c r="G97" s="343" t="n">
        <x:f>E97-F97</x:f>
        <x:v>1651</x:v>
      </x:c>
      <x:c r="H97" s="343" t="n">
        <x:f>D97-G97</x:f>
        <x:v>0</x:v>
      </x:c>
      <x:c r="I97" s="343" t="str">
        <x:f>IF(H97=0,"مطابق","فرق يحتاج مراجعة")</x:f>
        <x:v>مطابق</x:v>
      </x:c>
      <x:c r="J97" s="343" t="n">
        <x:v>58</x:v>
      </x:c>
    </x:row>
    <x:row r="98" ht="34" customHeight="1">
      <x:c r="B98" s="342" t="str">
        <x:v>144</x:v>
      </x:c>
      <x:c r="C98" s="345" t="str">
        <x:v>PCA 100/4 ML With button (Fornia)</x:v>
      </x:c>
      <x:c r="D98" s="344" t="n">
        <x:f>SUMIFS('Data &amp; Targets'!$E$16:$E$58,'Data &amp; Targets'!$C$16:$C$58,B98)</x:f>
        <x:v>1921</x:v>
      </x:c>
      <x:c r="E98" s="343" t="n">
        <x:v>9393</x:v>
      </x:c>
      <x:c r="F98" s="343" t="n">
        <x:v>7472</x:v>
      </x:c>
      <x:c r="G98" s="343" t="n">
        <x:f>E98-F98</x:f>
        <x:v>1921</x:v>
      </x:c>
      <x:c r="H98" s="343" t="n">
        <x:f>D98-G98</x:f>
        <x:v>0</x:v>
      </x:c>
      <x:c r="I98" s="343" t="str">
        <x:f>IF(H98=0,"مطابق","فرق يحتاج مراجعة")</x:f>
        <x:v>مطابق</x:v>
      </x:c>
      <x:c r="J98" s="343" t="n">
        <x:v>97</x:v>
      </x:c>
    </x:row>
    <x:row r="99" ht="34" customHeight="1">
      <x:c r="B99" s="342" t="str">
        <x:v>30010</x:v>
      </x:c>
      <x:c r="C99" s="345" t="str">
        <x:v>Touren pca 300 multirate without button</x:v>
      </x:c>
      <x:c r="D99" s="344" t="n">
        <x:f>SUMIFS('Data &amp; Targets'!$E$16:$E$58,'Data &amp; Targets'!$C$16:$C$58,B99)</x:f>
        <x:v>10</x:v>
      </x:c>
      <x:c r="E99" s="343" t="n">
        <x:v>11</x:v>
      </x:c>
      <x:c r="F99" s="343" t="n">
        <x:v>1</x:v>
      </x:c>
      <x:c r="G99" s="343" t="n">
        <x:f>E99-F99</x:f>
        <x:v>10</x:v>
      </x:c>
      <x:c r="H99" s="343" t="n">
        <x:f>D99-G99</x:f>
        <x:v>0</x:v>
      </x:c>
      <x:c r="I99" s="343" t="str">
        <x:f>IF(H99=0,"مطابق","فرق يحتاج مراجعة")</x:f>
        <x:v>مطابق</x:v>
      </x:c>
      <x:c r="J99" s="343" t="n">
        <x:v>3</x:v>
      </x:c>
    </x:row>
    <x:row r="100" ht="34" customHeight="1">
      <x:c r="B100" s="342" t="str">
        <x:v>BATTERY</x:v>
      </x:c>
      <x:c r="C100" s="345" t="str">
        <x:v>stapler battery</x:v>
      </x:c>
      <x:c r="D100" s="344" t="n">
        <x:f>SUMIFS('Data &amp; Targets'!$E$16:$E$58,'Data &amp; Targets'!$C$16:$C$58,B100)</x:f>
        <x:v>18</x:v>
      </x:c>
      <x:c r="E100" s="343" t="n">
        <x:v>25</x:v>
      </x:c>
      <x:c r="F100" s="343" t="n">
        <x:v>7</x:v>
      </x:c>
      <x:c r="G100" s="343" t="n">
        <x:f>E100-F100</x:f>
        <x:v>18</x:v>
      </x:c>
      <x:c r="H100" s="343" t="n">
        <x:f>D100-G100</x:f>
        <x:v>0</x:v>
      </x:c>
      <x:c r="I100" s="343" t="str">
        <x:f>IF(H100=0,"مطابق","فرق يحتاج مراجعة")</x:f>
        <x:v>مطابق</x:v>
      </x:c>
      <x:c r="J100" s="343" t="n">
        <x:v>5</x:v>
      </x:c>
    </x:row>
    <x:row r="101" ht="34" customHeight="1">
      <x:c r="B101" s="342" t="str">
        <x:v>CSS29</x:v>
      </x:c>
      <x:c r="C101" s="345" t="str">
        <x:v>رصيده الافتتاحي صفر</x:v>
      </x:c>
      <x:c r="D101" s="344" t="n">
        <x:f>SUMIFS('Data &amp; Targets'!$E$16:$E$58,'Data &amp; Targets'!$C$16:$C$58,B101)</x:f>
        <x:v>0</x:v>
      </x:c>
      <x:c r="E101" s="343" t="n">
        <x:v>1</x:v>
      </x:c>
      <x:c r="F101" s="343" t="n">
        <x:v>1</x:v>
      </x:c>
      <x:c r="G101" s="343" t="n">
        <x:f>E101-F101</x:f>
        <x:v>0</x:v>
      </x:c>
      <x:c r="H101" s="343" t="n">
        <x:f>D101-G101</x:f>
        <x:v>0</x:v>
      </x:c>
      <x:c r="I101" s="343" t="str">
        <x:f>IF(H101=0,"مطابق","فرق يحتاج مراجعة")</x:f>
        <x:v>مطابق</x:v>
      </x:c>
      <x:c r="J101" s="343" t="n">
        <x:v>2</x:v>
      </x:c>
    </x:row>
    <x:row r="102" ht="34" customHeight="1">
      <x:c r="B102" s="342" t="str">
        <x:v>E3147P</x:v>
      </x:c>
      <x:c r="C102" s="345" t="str">
        <x:v>رصيده الافتتاحي صفر</x:v>
      </x:c>
      <x:c r="D102" s="344" t="n">
        <x:f>SUMIFS('Data &amp; Targets'!$E$16:$E$58,'Data &amp; Targets'!$C$16:$C$58,B102)</x:f>
        <x:v>0</x:v>
      </x:c>
      <x:c r="E102" s="343" t="n">
        <x:v>10</x:v>
      </x:c>
      <x:c r="F102" s="343" t="n">
        <x:v>10</x:v>
      </x:c>
      <x:c r="G102" s="343" t="n">
        <x:f>E102-F102</x:f>
        <x:v>0</x:v>
      </x:c>
      <x:c r="H102" s="343" t="n">
        <x:f>D102-G102</x:f>
        <x:v>0</x:v>
      </x:c>
      <x:c r="I102" s="343" t="str">
        <x:f>IF(H102=0,"مطابق","فرق يحتاج مراجعة")</x:f>
        <x:v>مطابق</x:v>
      </x:c>
      <x:c r="J102" s="343" t="n">
        <x:v>2</x:v>
      </x:c>
    </x:row>
    <x:row r="103" ht="34" customHeight="1">
      <x:c r="B103" s="342" t="str">
        <x:v>E6149L</x:v>
      </x:c>
      <x:c r="C103" s="345" t="str">
        <x:v>رصيده الافتتاحي صفر</x:v>
      </x:c>
      <x:c r="D103" s="344" t="n">
        <x:f>SUMIFS('Data &amp; Targets'!$E$16:$E$58,'Data &amp; Targets'!$C$16:$C$58,B103)</x:f>
        <x:v>0</x:v>
      </x:c>
      <x:c r="E103" s="343" t="n">
        <x:v>25</x:v>
      </x:c>
      <x:c r="F103" s="343" t="n">
        <x:v>25</x:v>
      </x:c>
      <x:c r="G103" s="343" t="n">
        <x:f>E103-F103</x:f>
        <x:v>0</x:v>
      </x:c>
      <x:c r="H103" s="343" t="n">
        <x:f>D103-G103</x:f>
        <x:v>0</x:v>
      </x:c>
      <x:c r="I103" s="343" t="str">
        <x:f>IF(H103=0,"مطابق","فرق يحتاج مراجعة")</x:f>
        <x:v>مطابق</x:v>
      </x:c>
      <x:c r="J103" s="343" t="n">
        <x:v>2</x:v>
      </x:c>
    </x:row>
    <x:row r="104" ht="34" customHeight="1">
      <x:c r="B104" s="342" t="str">
        <x:v>E7185</x:v>
      </x:c>
      <x:c r="C104" s="345" t="str">
        <x:v>رصيده الافتتاحي صفر</x:v>
      </x:c>
      <x:c r="D104" s="344" t="n">
        <x:f>SUMIFS('Data &amp; Targets'!$E$16:$E$58,'Data &amp; Targets'!$C$16:$C$58,B104)</x:f>
        <x:v>0</x:v>
      </x:c>
      <x:c r="E104" s="343" t="n">
        <x:v>20</x:v>
      </x:c>
      <x:c r="F104" s="343" t="n">
        <x:v>20</x:v>
      </x:c>
      <x:c r="G104" s="343" t="n">
        <x:f>E104-F104</x:f>
        <x:v>0</x:v>
      </x:c>
      <x:c r="H104" s="343" t="n">
        <x:f>D104-G104</x:f>
        <x:v>0</x:v>
      </x:c>
      <x:c r="I104" s="343" t="str">
        <x:f>IF(H104=0,"مطابق","فرق يحتاج مراجعة")</x:f>
        <x:v>مطابق</x:v>
      </x:c>
      <x:c r="J104" s="343" t="n">
        <x:v>2</x:v>
      </x:c>
    </x:row>
    <x:row r="105" ht="34" customHeight="1">
      <x:c r="B105" s="342" t="str">
        <x:v>ECR60PC</x:v>
      </x:c>
      <x:c r="C105" s="345" t="str">
        <x:v>رصيده الافتتاحي صفر</x:v>
      </x:c>
      <x:c r="D105" s="344" t="n">
        <x:f>SUMIFS('Data &amp; Targets'!$E$16:$E$58,'Data &amp; Targets'!$C$16:$C$58,B105)</x:f>
        <x:v>0</x:v>
      </x:c>
      <x:c r="E105" s="343" t="n">
        <x:v>0</x:v>
      </x:c>
      <x:c r="F105" s="343" t="n">
        <x:v>0</x:v>
      </x:c>
      <x:c r="G105" s="343" t="n">
        <x:f>E105-F105</x:f>
        <x:v>0</x:v>
      </x:c>
      <x:c r="H105" s="343" t="n">
        <x:f>D105-G105</x:f>
        <x:v>0</x:v>
      </x:c>
      <x:c r="I105" s="343" t="str">
        <x:f>IF(H105=0,"مطابق","فرق يحتاج مراجعة")</x:f>
        <x:v>مطابق</x:v>
      </x:c>
      <x:c r="J105" s="343" t="n">
        <x:v>0</x:v>
      </x:c>
    </x:row>
    <x:row r="106" ht="34" customHeight="1">
      <x:c r="B106" s="342" t="str">
        <x:v>ESA60-2.6</x:v>
      </x:c>
      <x:c r="C106" s="345" t="str">
        <x:v>White reload 60mm</x:v>
      </x:c>
      <x:c r="D106" s="344" t="n">
        <x:f>SUMIFS('Data &amp; Targets'!$E$16:$E$58,'Data &amp; Targets'!$C$16:$C$58,B106)</x:f>
        <x:v>4</x:v>
      </x:c>
      <x:c r="E106" s="343" t="n">
        <x:v>4</x:v>
      </x:c>
      <x:c r="F106" s="343" t="n">
        <x:v>0</x:v>
      </x:c>
      <x:c r="G106" s="343" t="n">
        <x:f>E106-F106</x:f>
        <x:v>4</x:v>
      </x:c>
      <x:c r="H106" s="343" t="n">
        <x:f>D106-G106</x:f>
        <x:v>0</x:v>
      </x:c>
      <x:c r="I106" s="343" t="str">
        <x:f>IF(H106=0,"مطابق","فرق يحتاج مراجعة")</x:f>
        <x:v>مطابق</x:v>
      </x:c>
      <x:c r="J106" s="343" t="n">
        <x:v>1</x:v>
      </x:c>
    </x:row>
    <x:row r="107" ht="34" customHeight="1">
      <x:c r="B107" s="342" t="str">
        <x:v>H5137</x:v>
      </x:c>
      <x:c r="C107" s="345" t="str">
        <x:v>رصيده الافتتاحي صفر</x:v>
      </x:c>
      <x:c r="D107" s="344" t="n">
        <x:f>SUMIFS('Data &amp; Targets'!$E$16:$E$58,'Data &amp; Targets'!$C$16:$C$58,B107)</x:f>
        <x:v>0</x:v>
      </x:c>
      <x:c r="E107" s="343" t="n">
        <x:v>0</x:v>
      </x:c>
      <x:c r="F107" s="343" t="n">
        <x:v>0</x:v>
      </x:c>
      <x:c r="G107" s="343" t="n">
        <x:f>E107-F107</x:f>
        <x:v>0</x:v>
      </x:c>
      <x:c r="H107" s="343" t="n">
        <x:f>D107-G107</x:f>
        <x:v>0</x:v>
      </x:c>
      <x:c r="I107" s="343" t="str">
        <x:f>IF(H107=0,"مطابق","فرق يحتاج مراجعة")</x:f>
        <x:v>مطابق</x:v>
      </x:c>
      <x:c r="J107" s="343" t="n">
        <x:v>0</x:v>
      </x:c>
    </x:row>
    <x:row r="108" ht="34" customHeight="1">
      <x:c r="B108" s="342" t="str">
        <x:v>HF5137</x:v>
      </x:c>
      <x:c r="C108" s="345" t="str">
        <x:v>رصيده الافتتاحي صفر</x:v>
      </x:c>
      <x:c r="D108" s="344" t="n">
        <x:f>SUMIFS('Data &amp; Targets'!$E$16:$E$58,'Data &amp; Targets'!$C$16:$C$58,B108)</x:f>
        <x:v>0</x:v>
      </x:c>
      <x:c r="E108" s="343" t="n">
        <x:v>0</x:v>
      </x:c>
      <x:c r="F108" s="343" t="n">
        <x:v>0</x:v>
      </x:c>
      <x:c r="G108" s="343" t="n">
        <x:f>E108-F108</x:f>
        <x:v>0</x:v>
      </x:c>
      <x:c r="H108" s="343" t="n">
        <x:f>D108-G108</x:f>
        <x:v>0</x:v>
      </x:c>
      <x:c r="I108" s="343" t="str">
        <x:f>IF(H108=0,"مطابق","فرق يحتاج مراجعة")</x:f>
        <x:v>مطابق</x:v>
      </x:c>
      <x:c r="J108" s="343" t="n">
        <x:v>0</x:v>
      </x:c>
    </x:row>
    <x:row r="109" ht="34" customHeight="1">
      <x:c r="B109" s="342" t="str">
        <x:v>PEN102828</x:v>
      </x:c>
      <x:c r="C109" s="345" t="str">
        <x:v>رصيده الافتتاحي صفر</x:v>
      </x:c>
      <x:c r="D109" s="344" t="n">
        <x:f>SUMIFS('Data &amp; Targets'!$E$16:$E$58,'Data &amp; Targets'!$C$16:$C$58,B109)</x:f>
        <x:v>0</x:v>
      </x:c>
      <x:c r="E109" s="343" t="n">
        <x:v>57</x:v>
      </x:c>
      <x:c r="F109" s="343" t="n">
        <x:v>57</x:v>
      </x:c>
      <x:c r="G109" s="343" t="n">
        <x:f>E109-F109</x:f>
        <x:v>0</x:v>
      </x:c>
      <x:c r="H109" s="343" t="n">
        <x:f>D109-G109</x:f>
        <x:v>0</x:v>
      </x:c>
      <x:c r="I109" s="343" t="str">
        <x:f>IF(H109=0,"مطابق","فرق يحتاج مراجعة")</x:f>
        <x:v>مطابق</x:v>
      </x:c>
      <x:c r="J109" s="343" t="n">
        <x:v>2</x:v>
      </x:c>
    </x:row>
    <x:row r="110" ht="34" customHeight="1">
      <x:c r="B110" s="342" t="str">
        <x:v>QELC</x:v>
      </x:c>
      <x:c r="C110" s="345" t="str">
        <x:v>Universal Endoscopic linear cutting stapler and single use loading unit</x:v>
      </x:c>
      <x:c r="D110" s="344" t="n">
        <x:f>SUMIFS('Data &amp; Targets'!$E$16:$E$58,'Data &amp; Targets'!$C$16:$C$58,B110)</x:f>
        <x:v>1</x:v>
      </x:c>
      <x:c r="E110" s="343" t="n">
        <x:v>1</x:v>
      </x:c>
      <x:c r="F110" s="343" t="n">
        <x:v>0</x:v>
      </x:c>
      <x:c r="G110" s="343" t="n">
        <x:f>E110-F110</x:f>
        <x:v>1</x:v>
      </x:c>
      <x:c r="H110" s="343" t="n">
        <x:f>D110-G110</x:f>
        <x:v>0</x:v>
      </x:c>
      <x:c r="I110" s="343" t="str">
        <x:f>IF(H110=0,"مطابق","فرق يحتاج مراجعة")</x:f>
        <x:v>مطابق</x:v>
      </x:c>
      <x:c r="J110" s="343" t="n">
        <x:v>1</x:v>
      </x:c>
    </x:row>
    <x:row r="111" ht="34" customHeight="1">
      <x:c r="B111" s="342" t="str">
        <x:v>QELC 6035B</x:v>
      </x:c>
      <x:c r="C111" s="345" t="str">
        <x:v>single use loading unit -60mm _3.5mm purple</x:v>
      </x:c>
      <x:c r="D111" s="344" t="n">
        <x:f>SUMIFS('Data &amp; Targets'!$E$16:$E$58,'Data &amp; Targets'!$C$16:$C$58,B111)</x:f>
        <x:v>1</x:v>
      </x:c>
      <x:c r="E111" s="343" t="n">
        <x:v>1</x:v>
      </x:c>
      <x:c r="F111" s="343" t="n">
        <x:v>0</x:v>
      </x:c>
      <x:c r="G111" s="343" t="n">
        <x:f>E111-F111</x:f>
        <x:v>1</x:v>
      </x:c>
      <x:c r="H111" s="343" t="n">
        <x:f>D111-G111</x:f>
        <x:v>0</x:v>
      </x:c>
      <x:c r="I111" s="343" t="str">
        <x:f>IF(H111=0,"مطابق","فرق يحتاج مراجعة")</x:f>
        <x:v>مطابق</x:v>
      </x:c>
      <x:c r="J111" s="343" t="n">
        <x:v>1</x:v>
      </x:c>
    </x:row>
    <x:row r="112" ht="34" customHeight="1">
      <x:c r="B112" s="342" t="str">
        <x:v>SA-14</x:v>
      </x:c>
      <x:c r="C112" s="345" t="str">
        <x:v>Sterile Applcator 14cm for surgy Spong</x:v>
      </x:c>
      <x:c r="D112" s="344" t="n">
        <x:f>SUMIFS('Data &amp; Targets'!$E$16:$E$58,'Data &amp; Targets'!$C$16:$C$58,B112)</x:f>
        <x:v>3</x:v>
      </x:c>
      <x:c r="E112" s="343" t="n">
        <x:v>3</x:v>
      </x:c>
      <x:c r="F112" s="343" t="n">
        <x:v>0</x:v>
      </x:c>
      <x:c r="G112" s="343" t="n">
        <x:f>E112-F112</x:f>
        <x:v>3</x:v>
      </x:c>
      <x:c r="H112" s="343" t="n">
        <x:f>D112-G112</x:f>
        <x:v>0</x:v>
      </x:c>
      <x:c r="I112" s="343" t="str">
        <x:f>IF(H112=0,"مطابق","فرق يحتاج مراجعة")</x:f>
        <x:v>مطابق</x:v>
      </x:c>
      <x:c r="J112" s="343" t="n">
        <x:v>1</x:v>
      </x:c>
    </x:row>
    <x:row r="113" ht="34" customHeight="1">
      <x:c r="B113" s="342" t="str">
        <x:v>TCTX4221-M</x:v>
      </x:c>
      <x:c r="C113" s="345" t="str">
        <x:v>رصيده الافتتاحي صفر</x:v>
      </x:c>
      <x:c r="D113" s="344" t="n">
        <x:f>SUMIFS('Data &amp; Targets'!$E$16:$E$58,'Data &amp; Targets'!$C$16:$C$58,B113)</x:f>
        <x:v>0</x:v>
      </x:c>
      <x:c r="E113" s="343" t="n">
        <x:v>0</x:v>
      </x:c>
      <x:c r="F113" s="343" t="n">
        <x:v>0</x:v>
      </x:c>
      <x:c r="G113" s="343" t="n">
        <x:f>E113-F113</x:f>
        <x:v>0</x:v>
      </x:c>
      <x:c r="H113" s="343" t="n">
        <x:f>D113-G113</x:f>
        <x:v>0</x:v>
      </x:c>
      <x:c r="I113" s="343" t="str">
        <x:f>IF(H113=0,"مطابق","فرق يحتاج مراجعة")</x:f>
        <x:v>مطابق</x:v>
      </x:c>
      <x:c r="J113" s="343" t="n">
        <x:v>0</x:v>
      </x:c>
    </x:row>
    <x:row r="114" ht="34" customHeight="1">
      <x:c r="B114" s="342" t="str">
        <x:v>TCTX7221-L</x:v>
      </x:c>
      <x:c r="C114" s="345" t="str">
        <x:v>رصيده الافتتاحي صفر</x:v>
      </x:c>
      <x:c r="D114" s="344" t="n">
        <x:f>SUMIFS('Data &amp; Targets'!$E$16:$E$58,'Data &amp; Targets'!$C$16:$C$58,B114)</x:f>
        <x:v>0</x:v>
      </x:c>
      <x:c r="E114" s="343" t="n">
        <x:v>0</x:v>
      </x:c>
      <x:c r="F114" s="343" t="n">
        <x:v>0</x:v>
      </x:c>
      <x:c r="G114" s="343" t="n">
        <x:f>E114-F114</x:f>
        <x:v>0</x:v>
      </x:c>
      <x:c r="H114" s="343" t="n">
        <x:f>D114-G114</x:f>
        <x:v>0</x:v>
      </x:c>
      <x:c r="I114" s="343" t="str">
        <x:f>IF(H114=0,"مطابق","فرق يحتاج مراجعة")</x:f>
        <x:v>مطابق</x:v>
      </x:c>
      <x:c r="J114" s="343" t="n">
        <x:v>0</x:v>
      </x:c>
    </x:row>
    <x:row r="115" ht="26" customHeight="1">
      <x:c r="B115" s="334"/>
      <x:c r="C115" s="334"/>
      <x:c r="D115" s="334"/>
      <x:c r="E115" s="334"/>
      <x:c r="F115" s="334"/>
      <x:c r="G115" s="334"/>
      <x:c r="H115" s="334"/>
      <x:c r="I115" s="334"/>
      <x:c r="J115" s="334"/>
    </x:row>
    <x:row r="116" ht="26" customHeight="1">
      <x:c r="B116" s="339"/>
      <x:c r="C116" s="339" t="str">
        <x:v>الإجمالي</x:v>
      </x:c>
      <x:c r="D116" s="339" t="n">
        <x:f>SUM(D9:D114)</x:f>
        <x:v>11347</x:v>
      </x:c>
      <x:c r="E116" s="339" t="n">
        <x:f>SUM(E9:E114)</x:f>
        <x:v>57854</x:v>
      </x:c>
      <x:c r="F116" s="339" t="n">
        <x:f>SUM(F9:F114)</x:f>
        <x:v>46507</x:v>
      </x:c>
      <x:c r="G116" s="339" t="n">
        <x:f>SUM(G9:G114)</x:f>
        <x:v>11347</x:v>
      </x:c>
      <x:c r="H116" s="339" t="n">
        <x:f>SUM(H9:H114)</x:f>
        <x:v>0</x:v>
      </x:c>
      <x:c r="I116" s="339"/>
      <x:c r="J116" s="339" t="n">
        <x:f>SUM(J9:J114)</x:f>
        <x:v>2169</x:v>
      </x:c>
    </x:row>
    <x:row r="117" ht="26" customHeight="1">
      <x:c r="B117" s="334"/>
      <x:c r="C117" s="334"/>
      <x:c r="D117" s="334"/>
      <x:c r="E117" s="334"/>
      <x:c r="F117" s="334"/>
      <x:c r="G117" s="334"/>
      <x:c r="H117" s="334"/>
      <x:c r="I117" s="334"/>
      <x:c r="J117" s="334"/>
    </x:row>
    <x:row r="118" ht="26" customHeight="1">
      <x:c r="B118" s="334"/>
      <x:c r="C118" s="334" t="str">
        <x:v>أصناف بها فرق</x:v>
      </x:c>
      <x:c r="D118" s="334" t="n">
        <x:f>COUNTIFS(H9:H114,"&lt;&gt;0")</x:f>
        <x:v>0</x:v>
      </x:c>
      <x:c r="E118" s="334"/>
      <x:c r="F118" s="334"/>
      <x:c r="G118" s="334"/>
      <x:c r="H118" s="334"/>
      <x:c r="I118" s="334"/>
      <x:c r="J118" s="334"/>
    </x:row>
    <x:row r="119" ht="26" customHeight="1">
      <x:c r="B119" s="334"/>
      <x:c r="C119" s="334"/>
      <x:c r="D119" s="334"/>
      <x:c r="E119" s="334"/>
      <x:c r="F119" s="334"/>
      <x:c r="G119" s="334"/>
      <x:c r="H119" s="334"/>
      <x:c r="I119" s="334"/>
      <x:c r="J119" s="334"/>
    </x:row>
    <x:row r="120" ht="26" customHeight="1">
      <x:c r="B120" s="334"/>
      <x:c r="C120" s="334"/>
      <x:c r="D120" s="334"/>
      <x:c r="E120" s="334"/>
      <x:c r="F120" s="334"/>
      <x:c r="G120" s="334"/>
      <x:c r="H120" s="334"/>
      <x:c r="I120" s="334"/>
      <x:c r="J120" s="334"/>
    </x:row>
  </x:sheetData>
  <x:mergeCells>
    <x:mergeCell ref="B2:J2"/>
    <x:mergeCell ref="B3:J3"/>
    <x:mergeCell ref="B4:J4"/>
    <x:mergeCell ref="B5:J5"/>
    <x:mergeCell ref="B6:J6"/>
  </x:mergeCells>
  <x:conditionalFormatting sqref="H9:H114">
    <x:cfRule type="cellIs" dxfId="3" priority="1" operator="notEqual">
      <x:formula>0</x:formula>
    </x:cfRule>
  </x:conditionalFormatting>
  <x:pageMargins left="0.7" right="0.7" top="0.75" bottom="0.75" header="0.3" footer="0.3"/>
</x:worksheet>
</file>